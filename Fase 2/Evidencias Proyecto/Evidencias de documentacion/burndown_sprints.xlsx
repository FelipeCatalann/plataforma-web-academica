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definedNames/>
  <calcPr/>
  <extLst>
    <ext uri="GoogleSheetsCustomDataVersion2">
      <go:sheetsCustomData xmlns:go="http://customooxmlschemas.google.com/" r:id="rId6" roundtripDataChecksum="vDcItCGuB+cZt66546wBSn/WAkHHXCzIyPe5nfQQMzQ="/>
    </ext>
  </extLst>
</workbook>
</file>

<file path=xl/sharedStrings.xml><?xml version="1.0" encoding="utf-8"?>
<sst xmlns="http://schemas.openxmlformats.org/spreadsheetml/2006/main" count="25" uniqueCount="16">
  <si>
    <t>Control del Sprint</t>
  </si>
  <si>
    <t>Sprint 1 Levantamiento infraestructura y datos</t>
  </si>
  <si>
    <t>Historias de Usuario o Spike</t>
  </si>
  <si>
    <t>horas estimadas</t>
  </si>
  <si>
    <t>DIA</t>
  </si>
  <si>
    <t>Total</t>
  </si>
  <si>
    <t xml:space="preserve">[INDG-15] HUF-01: Importación de Nómina y Calificaciones </t>
  </si>
  <si>
    <t>[INDG-17] HUF-03: Chatbot Pedagógico (IA)</t>
  </si>
  <si>
    <t>[INDG-16] HUF-02: Generación Automatizada de Datos Sintéticos</t>
  </si>
  <si>
    <t>[INDG-30] HUNF-05 Integridad Transaccional ETL</t>
  </si>
  <si>
    <t>[INDG-27] HUNF 02: Privacidad y Tokenización</t>
  </si>
  <si>
    <t>[INDG-26]HUNF 07: Integración Continua</t>
  </si>
  <si>
    <t>[INDG-29] HUNF-03 Disenio Responsivo (SPA)</t>
  </si>
  <si>
    <t>[INDG-25] HUNF 04: Orquestación Docker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</si>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</sst>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readingOrder="0"/>
    </xf>
    <xf borderId="8" fillId="2" fontId="3" numFmtId="0" xfId="0" applyAlignment="1" applyBorder="1" applyFill="1" applyFont="1">
      <alignment horizontal="center" shrinkToFit="0" wrapText="1"/>
    </xf>
    <xf borderId="9" fillId="2" fontId="3" numFmtId="0" xfId="0" applyAlignment="1" applyBorder="1" applyFill="1" applyFont="1">
      <alignment horizontal="center" readingOrder="0" shrinkToFit="0" wrapText="1"/>
    </xf>
    <xf borderId="10" fillId="0" fontId="3" numFmtId="0" xfId="0" applyBorder="1" applyFont="1"/>
    <xf borderId="10" fillId="0" fontId="3" numFmtId="0" xfId="0" applyAlignment="1" applyBorder="1" applyFont="1">
      <alignment readingOrder="0"/>
    </xf>
    <xf borderId="11" fillId="0" fontId="3" numFmtId="0" xfId="0" applyBorder="1" applyFont="1"/>
    <xf borderId="11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readingOrder="0" shrinkToFit="0" wrapText="1"/>
    </xf>
    <xf borderId="0" fillId="0" fontId="2" numFmtId="0" xfId="0" applyFont="1"/>
    <xf borderId="12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6" fillId="0" fontId="3" numFmtId="0" xfId="0" applyBorder="1" applyFont="1"/>
    <xf borderId="13" fillId="2" fontId="3" numFmtId="0" xfId="0" applyAlignment="1" applyBorder="1" applyFill="1" applyFont="1">
      <alignment readingOrder="0"/>
    </xf>
    <xf borderId="14" fillId="2" fontId="3" numFmtId="0" xfId="0" applyAlignment="1" applyBorder="1" applyFill="1" applyFont="1">
      <alignment horizontal="center" readingOrder="0" shrinkToFit="0" wrapText="1"/>
    </xf>
    <xf borderId="14" fillId="2" fontId="3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center" readingOrder="0" shrinkToFit="0" wrapText="1"/>
    </xf>
    <xf borderId="12" fillId="0" fontId="3" numFmtId="0" xfId="0" applyAlignment="1" applyBorder="1" applyFont="1">
      <alignment readingOrder="0"/>
    </xf>
    <xf borderId="9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1'!$B$11:$P$11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1'!$B$13:$P$13</c:f>
              <c:numCache/>
            </c:numRef>
          </c:val>
          <c:smooth val="0"/>
        </c:ser>
        <c:axId val="1553345360"/>
        <c:axId val="1047819191"/>
      </c:lineChart>
      <c:catAx>
        <c:axId val="155334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7819191"/>
      </c:catAx>
      <c:valAx>
        <c:axId val="1047819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33453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2'!$B$11:$P$11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2'!$B$13:$P$13</c:f>
              <c:numCache/>
            </c:numRef>
          </c:val>
          <c:smooth val="0"/>
        </c:ser>
        <c:axId val="725099414"/>
        <c:axId val="1673357926"/>
      </c:lineChart>
      <c:catAx>
        <c:axId val="725099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3357926"/>
      </c:catAx>
      <c:valAx>
        <c:axId val="1673357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50994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63802316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238125</xdr:colOff>
      <xdr:row>1</xdr:row>
      <xdr:rowOff>133350</xdr:rowOff>
    </xdr:from>
    <xdr:ext cx="3524250" cy="3257550"/>
    <xdr:graphicFrame>
      <xdr:nvGraphicFramePr>
        <xdr:cNvPr id="99759942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2" width="18.0"/>
    <col customWidth="1" min="3" max="3" width="5.57"/>
    <col customWidth="1" min="4" max="4" width="6.71"/>
    <col customWidth="1" min="5" max="5" width="5.57"/>
    <col customWidth="1" min="6" max="6" width="5.71"/>
    <col customWidth="1" min="7" max="7" width="5.43"/>
    <col customWidth="1" min="8" max="8" width="4.86"/>
    <col customWidth="1" min="9" max="11" width="5.57"/>
    <col customWidth="1" min="12" max="12" width="5.71"/>
    <col customWidth="1" min="13" max="13" width="5.0"/>
    <col customWidth="1" min="14" max="14" width="5.43"/>
    <col customWidth="1" min="15" max="15" width="4.71"/>
    <col customWidth="1" min="16" max="16" width="5.0"/>
    <col customWidth="1" min="17" max="23" width="10.71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5</v>
      </c>
    </row>
    <row r="4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>
      <c r="A5" s="10" t="s">
        <v>6</v>
      </c>
      <c r="B5" s="11">
        <v>8.0</v>
      </c>
      <c r="C5" s="13"/>
      <c r="D5" s="15"/>
      <c r="E5" s="15"/>
      <c r="F5" s="15"/>
      <c r="G5" s="15"/>
      <c r="H5" s="15"/>
      <c r="I5" s="15"/>
      <c r="J5" s="15"/>
      <c r="K5" s="15"/>
      <c r="L5" s="15">
        <v>2.0</v>
      </c>
      <c r="M5" s="15"/>
      <c r="N5" s="15">
        <v>2.0</v>
      </c>
      <c r="O5" s="15">
        <v>2.0</v>
      </c>
      <c r="P5" s="15">
        <v>2.0</v>
      </c>
      <c r="Q5" s="8">
        <f>SUM(C5:P5)</f>
        <v>8</v>
      </c>
    </row>
    <row r="6">
      <c r="A6" s="17" t="s">
        <v>8</v>
      </c>
      <c r="B6" s="18">
        <v>8.0</v>
      </c>
      <c r="C6" s="20">
        <v>1.0</v>
      </c>
      <c r="D6" s="21">
        <v>1.0</v>
      </c>
      <c r="E6" s="23">
        <v>2.0</v>
      </c>
      <c r="F6" s="23">
        <v>2.0</v>
      </c>
      <c r="G6" s="23">
        <v>2.0</v>
      </c>
      <c r="H6" s="23"/>
      <c r="I6" s="23"/>
      <c r="J6" s="23"/>
      <c r="K6" s="23"/>
      <c r="L6" s="23"/>
      <c r="M6" s="23"/>
      <c r="N6" s="23"/>
      <c r="O6" s="23"/>
      <c r="P6" s="23"/>
      <c r="Q6" s="24">
        <f>SUM(D6:P6)</f>
        <v>7</v>
      </c>
    </row>
    <row r="7">
      <c r="A7" s="25" t="s">
        <v>10</v>
      </c>
      <c r="B7" s="27">
        <v>8.0</v>
      </c>
      <c r="C7" s="21"/>
      <c r="D7" s="23"/>
      <c r="E7" s="23">
        <v>2.0</v>
      </c>
      <c r="F7" s="23">
        <v>2.0</v>
      </c>
      <c r="G7" s="23">
        <v>2.0</v>
      </c>
      <c r="H7" s="23">
        <v>2.0</v>
      </c>
      <c r="I7" s="23"/>
      <c r="J7" s="23"/>
      <c r="K7" s="23"/>
      <c r="L7" s="23"/>
      <c r="M7" s="23"/>
      <c r="N7" s="23"/>
      <c r="O7" s="23"/>
      <c r="P7" s="23"/>
      <c r="Q7" s="24">
        <f t="shared" ref="Q7:Q9" si="1">SUM(C7:P7)</f>
        <v>8</v>
      </c>
    </row>
    <row r="8">
      <c r="A8" s="17" t="s">
        <v>11</v>
      </c>
      <c r="B8" s="18">
        <v>1.0</v>
      </c>
      <c r="C8" s="21"/>
      <c r="D8" s="23"/>
      <c r="E8" s="23"/>
      <c r="F8" s="23"/>
      <c r="G8" s="23">
        <v>1.0</v>
      </c>
      <c r="H8" s="23"/>
      <c r="I8" s="23"/>
      <c r="J8" s="23"/>
      <c r="K8" s="23"/>
      <c r="L8" s="23"/>
      <c r="M8" s="23"/>
      <c r="N8" s="23"/>
      <c r="O8" s="23"/>
      <c r="P8" s="23"/>
      <c r="Q8" s="24">
        <f t="shared" si="1"/>
        <v>1</v>
      </c>
    </row>
    <row r="9">
      <c r="A9" s="17" t="s">
        <v>13</v>
      </c>
      <c r="B9" s="18">
        <v>3.0</v>
      </c>
      <c r="C9" s="29">
        <v>3.0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30">
        <f t="shared" si="1"/>
        <v>3</v>
      </c>
    </row>
    <row r="11">
      <c r="A11" s="31" t="s">
        <v>14</v>
      </c>
      <c r="B11" s="20">
        <f>SUM(B5:B10)</f>
        <v>28</v>
      </c>
      <c r="C11" s="20">
        <f t="shared" ref="C11:P11" si="2">B11-SUM(C5:C9)</f>
        <v>24</v>
      </c>
      <c r="D11" s="20">
        <f t="shared" si="2"/>
        <v>23</v>
      </c>
      <c r="E11" s="20">
        <f t="shared" si="2"/>
        <v>19</v>
      </c>
      <c r="F11" s="20">
        <f t="shared" si="2"/>
        <v>15</v>
      </c>
      <c r="G11" s="20">
        <f t="shared" si="2"/>
        <v>10</v>
      </c>
      <c r="H11" s="20">
        <f t="shared" si="2"/>
        <v>8</v>
      </c>
      <c r="I11" s="20">
        <f t="shared" si="2"/>
        <v>8</v>
      </c>
      <c r="J11" s="20">
        <f t="shared" si="2"/>
        <v>8</v>
      </c>
      <c r="K11" s="20">
        <f t="shared" si="2"/>
        <v>8</v>
      </c>
      <c r="L11" s="20">
        <f t="shared" si="2"/>
        <v>6</v>
      </c>
      <c r="M11" s="20">
        <f t="shared" si="2"/>
        <v>6</v>
      </c>
      <c r="N11" s="20">
        <f t="shared" si="2"/>
        <v>4</v>
      </c>
      <c r="O11" s="20">
        <f t="shared" si="2"/>
        <v>2</v>
      </c>
      <c r="P11" s="20">
        <f t="shared" si="2"/>
        <v>0</v>
      </c>
    </row>
    <row r="13">
      <c r="A13" s="31" t="s">
        <v>15</v>
      </c>
      <c r="B13" s="20">
        <f>SUM(B5:B9)</f>
        <v>28</v>
      </c>
      <c r="C13" s="20">
        <f t="shared" ref="C13:P13" si="3">B13-(SUM($B$5:$B$9)/20)</f>
        <v>26.6</v>
      </c>
      <c r="D13" s="20">
        <f t="shared" si="3"/>
        <v>25.2</v>
      </c>
      <c r="E13" s="20">
        <f t="shared" si="3"/>
        <v>23.8</v>
      </c>
      <c r="F13" s="20">
        <f t="shared" si="3"/>
        <v>22.4</v>
      </c>
      <c r="G13" s="20">
        <f t="shared" si="3"/>
        <v>21</v>
      </c>
      <c r="H13" s="20">
        <f t="shared" si="3"/>
        <v>19.6</v>
      </c>
      <c r="I13" s="20">
        <f t="shared" si="3"/>
        <v>18.2</v>
      </c>
      <c r="J13" s="20">
        <f t="shared" si="3"/>
        <v>16.8</v>
      </c>
      <c r="K13" s="20">
        <f t="shared" si="3"/>
        <v>15.4</v>
      </c>
      <c r="L13" s="20">
        <f t="shared" si="3"/>
        <v>14</v>
      </c>
      <c r="M13" s="20">
        <f t="shared" si="3"/>
        <v>12.6</v>
      </c>
      <c r="N13" s="20">
        <f t="shared" si="3"/>
        <v>11.2</v>
      </c>
      <c r="O13" s="20">
        <f t="shared" si="3"/>
        <v>9.8</v>
      </c>
      <c r="P13" s="20">
        <f t="shared" si="3"/>
        <v>8.4</v>
      </c>
    </row>
    <row r="15">
      <c r="A15" s="23"/>
      <c r="B15" s="32"/>
      <c r="C15" s="23"/>
      <c r="D15" s="23"/>
      <c r="E15" s="23"/>
      <c r="F15" s="23"/>
      <c r="G15" s="23"/>
      <c r="H15" s="23"/>
      <c r="I15" s="23"/>
    </row>
    <row r="16">
      <c r="A16" s="23"/>
      <c r="B16" s="32"/>
      <c r="C16" s="23"/>
      <c r="D16" s="23"/>
      <c r="E16" s="23"/>
      <c r="F16" s="23"/>
      <c r="G16" s="32"/>
      <c r="H16" s="23"/>
      <c r="I16" s="23"/>
    </row>
    <row r="17">
      <c r="A17" s="23"/>
      <c r="B17" s="32"/>
      <c r="C17" s="23"/>
      <c r="D17" s="23"/>
      <c r="E17" s="23"/>
      <c r="F17" s="23"/>
      <c r="G17" s="32"/>
      <c r="H17" s="23"/>
      <c r="I17" s="23"/>
    </row>
    <row r="18">
      <c r="A18" s="23"/>
      <c r="B18" s="32"/>
      <c r="C18" s="23"/>
      <c r="D18" s="23"/>
      <c r="E18" s="23"/>
      <c r="F18" s="23"/>
      <c r="G18" s="32"/>
      <c r="H18" s="23"/>
      <c r="I18" s="23"/>
    </row>
    <row r="19">
      <c r="A19" s="23"/>
      <c r="B19" s="32"/>
      <c r="C19" s="23"/>
      <c r="D19" s="23"/>
      <c r="E19" s="23"/>
      <c r="F19" s="23"/>
      <c r="G19" s="32"/>
      <c r="H19" s="23"/>
      <c r="I19" s="23"/>
    </row>
    <row r="20" ht="15.75" customHeight="1">
      <c r="A20" s="23"/>
      <c r="B20" s="32"/>
      <c r="C20" s="23"/>
      <c r="D20" s="23"/>
      <c r="E20" s="23"/>
      <c r="F20" s="23"/>
      <c r="G20" s="32"/>
      <c r="H20" s="23"/>
      <c r="I20" s="23"/>
    </row>
    <row r="21" ht="15.75" customHeight="1">
      <c r="A21" s="23"/>
      <c r="B21" s="32"/>
      <c r="C21" s="23"/>
      <c r="D21" s="23"/>
      <c r="E21" s="23"/>
      <c r="F21" s="23"/>
      <c r="G21" s="32"/>
      <c r="H21" s="23"/>
      <c r="I21" s="23"/>
    </row>
    <row r="22" ht="15.75" customHeight="1">
      <c r="A22" s="23"/>
      <c r="B22" s="32"/>
      <c r="C22" s="23"/>
      <c r="D22" s="23"/>
      <c r="E22" s="23"/>
      <c r="F22" s="23"/>
      <c r="G22" s="23"/>
      <c r="H22" s="23"/>
      <c r="I22" s="23"/>
    </row>
    <row r="23" ht="15.75" customHeight="1">
      <c r="A23" s="23"/>
      <c r="B23" s="32"/>
      <c r="C23" s="23"/>
      <c r="D23" s="23"/>
      <c r="E23" s="23"/>
      <c r="F23" s="23"/>
      <c r="G23" s="23"/>
      <c r="H23" s="23"/>
      <c r="I23" s="23"/>
    </row>
    <row r="24" ht="15.75" customHeight="1">
      <c r="A24" s="23"/>
      <c r="B24" s="32"/>
      <c r="C24" s="23"/>
      <c r="D24" s="23"/>
      <c r="E24" s="23"/>
      <c r="F24" s="23"/>
      <c r="G24" s="23"/>
      <c r="H24" s="23"/>
      <c r="I24" s="2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2" width="18.0"/>
    <col customWidth="1" min="3" max="3" width="5.57"/>
    <col customWidth="1" min="4" max="4" width="6.71"/>
    <col customWidth="1" min="5" max="5" width="5.57"/>
    <col customWidth="1" min="6" max="6" width="5.71"/>
    <col customWidth="1" min="7" max="7" width="5.43"/>
    <col customWidth="1" min="8" max="8" width="4.86"/>
    <col customWidth="1" min="9" max="11" width="5.57"/>
    <col customWidth="1" min="12" max="12" width="5.71"/>
    <col customWidth="1" min="13" max="13" width="5.0"/>
    <col customWidth="1" min="14" max="14" width="5.43"/>
    <col customWidth="1" min="15" max="15" width="4.71"/>
    <col customWidth="1" min="16" max="16" width="5.0"/>
    <col customWidth="1" min="17" max="23" width="10.71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5</v>
      </c>
    </row>
    <row r="4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>
      <c r="A5" s="10" t="s">
        <v>7</v>
      </c>
      <c r="B5" s="12">
        <v>6.0</v>
      </c>
      <c r="C5" s="14">
        <v>1.0</v>
      </c>
      <c r="D5" s="16">
        <v>2.0</v>
      </c>
      <c r="E5" s="16">
        <v>1.0</v>
      </c>
      <c r="F5" s="16">
        <v>1.0</v>
      </c>
      <c r="G5" s="16">
        <v>1.0</v>
      </c>
      <c r="H5" s="15"/>
      <c r="I5" s="15"/>
      <c r="J5" s="15"/>
      <c r="K5" s="15"/>
      <c r="L5" s="15"/>
      <c r="M5" s="15"/>
      <c r="N5" s="15"/>
      <c r="O5" s="15"/>
      <c r="P5" s="15"/>
      <c r="Q5" s="8">
        <f>SUM(C5:P5)</f>
        <v>6</v>
      </c>
    </row>
    <row r="6">
      <c r="A6" s="17" t="s">
        <v>9</v>
      </c>
      <c r="B6" s="19">
        <v>3.0</v>
      </c>
      <c r="C6" s="2">
        <v>2.0</v>
      </c>
      <c r="D6" s="22">
        <v>1.0</v>
      </c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>
        <f>SUM(D6:P6)</f>
        <v>1</v>
      </c>
    </row>
    <row r="7">
      <c r="A7" s="25" t="s">
        <v>10</v>
      </c>
      <c r="B7" s="26">
        <v>5.0</v>
      </c>
      <c r="C7" s="21"/>
      <c r="E7" s="22">
        <v>2.0</v>
      </c>
      <c r="F7" s="22">
        <v>2.0</v>
      </c>
      <c r="G7" s="22">
        <v>1.0</v>
      </c>
      <c r="H7" s="23"/>
      <c r="I7" s="23"/>
      <c r="J7" s="23"/>
      <c r="K7" s="23"/>
      <c r="L7" s="23"/>
      <c r="M7" s="23"/>
      <c r="N7" s="23"/>
      <c r="O7" s="23"/>
      <c r="P7" s="23"/>
      <c r="Q7" s="24">
        <f t="shared" ref="Q7:Q9" si="1">SUM(C7:P7)</f>
        <v>5</v>
      </c>
    </row>
    <row r="8">
      <c r="A8" s="17" t="s">
        <v>12</v>
      </c>
      <c r="B8" s="28">
        <v>2.0</v>
      </c>
      <c r="C8" s="21"/>
      <c r="D8" s="23"/>
      <c r="E8" s="23"/>
      <c r="F8" s="23"/>
      <c r="G8" s="23"/>
      <c r="H8" s="22">
        <v>1.0</v>
      </c>
      <c r="I8" s="22">
        <v>1.0</v>
      </c>
      <c r="J8" s="23"/>
      <c r="K8" s="23"/>
      <c r="L8" s="23"/>
      <c r="M8" s="23"/>
      <c r="N8" s="23"/>
      <c r="O8" s="23"/>
      <c r="P8" s="23"/>
      <c r="Q8" s="24">
        <f t="shared" si="1"/>
        <v>2</v>
      </c>
    </row>
    <row r="9">
      <c r="A9" s="17"/>
      <c r="B9" s="18"/>
      <c r="C9" s="29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30">
        <f t="shared" si="1"/>
        <v>0</v>
      </c>
    </row>
    <row r="11">
      <c r="A11" s="31" t="s">
        <v>14</v>
      </c>
      <c r="B11" s="20">
        <f>SUM(B5:B10)</f>
        <v>16</v>
      </c>
      <c r="C11" s="20">
        <f t="shared" ref="C11:P11" si="2">B11-SUM(C5:C9)</f>
        <v>13</v>
      </c>
      <c r="D11" s="20">
        <f t="shared" si="2"/>
        <v>10</v>
      </c>
      <c r="E11" s="20">
        <f t="shared" si="2"/>
        <v>7</v>
      </c>
      <c r="F11" s="20">
        <f t="shared" si="2"/>
        <v>4</v>
      </c>
      <c r="G11" s="20">
        <f t="shared" si="2"/>
        <v>2</v>
      </c>
      <c r="H11" s="20">
        <f t="shared" si="2"/>
        <v>1</v>
      </c>
      <c r="I11" s="20">
        <f t="shared" si="2"/>
        <v>0</v>
      </c>
      <c r="J11" s="20">
        <f t="shared" si="2"/>
        <v>0</v>
      </c>
      <c r="K11" s="20">
        <f t="shared" si="2"/>
        <v>0</v>
      </c>
      <c r="L11" s="20">
        <f t="shared" si="2"/>
        <v>0</v>
      </c>
      <c r="M11" s="20">
        <f t="shared" si="2"/>
        <v>0</v>
      </c>
      <c r="N11" s="20">
        <f t="shared" si="2"/>
        <v>0</v>
      </c>
      <c r="O11" s="20">
        <f t="shared" si="2"/>
        <v>0</v>
      </c>
      <c r="P11" s="20">
        <f t="shared" si="2"/>
        <v>0</v>
      </c>
    </row>
    <row r="13">
      <c r="A13" s="31" t="s">
        <v>15</v>
      </c>
      <c r="B13" s="20">
        <f>SUM(B5:B9)</f>
        <v>16</v>
      </c>
      <c r="C13" s="20">
        <f t="shared" ref="C13:P13" si="3">B13-(SUM($B$5:$B$9)/20)</f>
        <v>15.2</v>
      </c>
      <c r="D13" s="20">
        <f t="shared" si="3"/>
        <v>14.4</v>
      </c>
      <c r="E13" s="20">
        <f t="shared" si="3"/>
        <v>13.6</v>
      </c>
      <c r="F13" s="20">
        <f t="shared" si="3"/>
        <v>12.8</v>
      </c>
      <c r="G13" s="20">
        <f t="shared" si="3"/>
        <v>12</v>
      </c>
      <c r="H13" s="20">
        <f t="shared" si="3"/>
        <v>11.2</v>
      </c>
      <c r="I13" s="20">
        <f t="shared" si="3"/>
        <v>10.4</v>
      </c>
      <c r="J13" s="20">
        <f t="shared" si="3"/>
        <v>9.6</v>
      </c>
      <c r="K13" s="20">
        <f t="shared" si="3"/>
        <v>8.8</v>
      </c>
      <c r="L13" s="20">
        <f t="shared" si="3"/>
        <v>8</v>
      </c>
      <c r="M13" s="20">
        <f t="shared" si="3"/>
        <v>7.2</v>
      </c>
      <c r="N13" s="20">
        <f t="shared" si="3"/>
        <v>6.4</v>
      </c>
      <c r="O13" s="20">
        <f t="shared" si="3"/>
        <v>5.6</v>
      </c>
      <c r="P13" s="20">
        <f t="shared" si="3"/>
        <v>4.8</v>
      </c>
    </row>
    <row r="15">
      <c r="A15" s="23"/>
      <c r="B15" s="32"/>
      <c r="C15" s="23"/>
      <c r="D15" s="23"/>
      <c r="E15" s="23"/>
      <c r="F15" s="23"/>
      <c r="G15" s="23"/>
      <c r="H15" s="23"/>
      <c r="I15" s="23"/>
    </row>
    <row r="16">
      <c r="A16" s="23"/>
      <c r="B16" s="32"/>
      <c r="C16" s="23"/>
      <c r="D16" s="23"/>
      <c r="E16" s="23"/>
      <c r="F16" s="23"/>
      <c r="G16" s="32"/>
      <c r="H16" s="23"/>
      <c r="I16" s="23"/>
    </row>
    <row r="17">
      <c r="A17" s="23"/>
      <c r="B17" s="32"/>
      <c r="C17" s="23"/>
      <c r="D17" s="23"/>
      <c r="E17" s="23"/>
      <c r="F17" s="23"/>
      <c r="G17" s="32"/>
      <c r="H17" s="23"/>
      <c r="I17" s="23"/>
    </row>
    <row r="18">
      <c r="A18" s="23"/>
      <c r="B18" s="32"/>
      <c r="C18" s="23"/>
      <c r="D18" s="23"/>
      <c r="E18" s="23"/>
      <c r="F18" s="23"/>
      <c r="G18" s="32"/>
      <c r="H18" s="23"/>
      <c r="I18" s="23"/>
    </row>
    <row r="19">
      <c r="A19" s="23"/>
      <c r="B19" s="32"/>
      <c r="C19" s="23"/>
      <c r="D19" s="23"/>
      <c r="E19" s="23"/>
      <c r="F19" s="23"/>
      <c r="G19" s="32"/>
      <c r="H19" s="23"/>
      <c r="I19" s="23"/>
    </row>
    <row r="20" ht="15.75" customHeight="1">
      <c r="A20" s="23"/>
      <c r="B20" s="32"/>
      <c r="C20" s="23"/>
      <c r="D20" s="23"/>
      <c r="E20" s="23"/>
      <c r="F20" s="23"/>
      <c r="G20" s="32"/>
      <c r="H20" s="23"/>
      <c r="I20" s="23"/>
    </row>
    <row r="21" ht="15.75" customHeight="1">
      <c r="A21" s="23"/>
      <c r="B21" s="32"/>
      <c r="C21" s="23"/>
      <c r="D21" s="23"/>
      <c r="E21" s="23"/>
      <c r="F21" s="23"/>
      <c r="G21" s="32"/>
      <c r="H21" s="23"/>
      <c r="I21" s="23"/>
    </row>
    <row r="22" ht="15.75" customHeight="1">
      <c r="A22" s="23"/>
      <c r="B22" s="32"/>
      <c r="C22" s="23"/>
      <c r="D22" s="23"/>
      <c r="E22" s="23"/>
      <c r="F22" s="23"/>
      <c r="G22" s="23"/>
      <c r="H22" s="23"/>
      <c r="I22" s="23"/>
    </row>
    <row r="23" ht="15.75" customHeight="1">
      <c r="A23" s="23"/>
      <c r="B23" s="32"/>
      <c r="C23" s="23"/>
      <c r="D23" s="23"/>
      <c r="E23" s="23"/>
      <c r="F23" s="23"/>
      <c r="G23" s="23"/>
      <c r="H23" s="23"/>
      <c r="I23" s="23"/>
    </row>
    <row r="24" ht="15.75" customHeight="1">
      <c r="A24" s="23"/>
      <c r="B24" s="32"/>
      <c r="C24" s="23"/>
      <c r="D24" s="23"/>
      <c r="E24" s="23"/>
      <c r="F24" s="23"/>
      <c r="G24" s="23"/>
      <c r="H24" s="23"/>
      <c r="I24" s="2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