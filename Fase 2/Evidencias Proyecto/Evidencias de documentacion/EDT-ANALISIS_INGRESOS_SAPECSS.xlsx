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xP20Y4pcdL6cxO4s/cirCAQZVxuETl21F0Sv2pFIShg="/>
    </ext>
  </extLst>
</workbook>
</file>

<file path=xl/sharedStrings.xml><?xml version="1.0" encoding="utf-8"?>
<sst xmlns="http://schemas.openxmlformats.org/spreadsheetml/2006/main" count="111" uniqueCount="76">
  <si>
    <t>EDT- Planilla Estructura de Descomposición de Tareas</t>
  </si>
  <si>
    <t>FUENTE DE INFORMACION www.mifuturo.cl / www.universia.cl</t>
  </si>
  <si>
    <t>ACTIVIDADES</t>
  </si>
  <si>
    <t>Horas por Actividad o entregable</t>
  </si>
  <si>
    <t>INGENIERIA INFORMÁTICA</t>
  </si>
  <si>
    <t>DICCIONARIO EDT</t>
  </si>
  <si>
    <t>EXPERIENCIA</t>
  </si>
  <si>
    <t>Fase Análisis y Planificación</t>
  </si>
  <si>
    <t>Días</t>
  </si>
  <si>
    <t>PO</t>
  </si>
  <si>
    <t>SM</t>
  </si>
  <si>
    <t>LD</t>
  </si>
  <si>
    <t>SIGLA</t>
  </si>
  <si>
    <t>ROL</t>
  </si>
  <si>
    <t>(- 2 años)</t>
  </si>
  <si>
    <t>(+2 años)</t>
  </si>
  <si>
    <t>NOMBRE</t>
  </si>
  <si>
    <t>RESPONS.</t>
  </si>
  <si>
    <t>COSTO x HORA</t>
  </si>
  <si>
    <t>SUELDO</t>
  </si>
  <si>
    <t>HH</t>
  </si>
  <si>
    <t>Lluvia de ideas y Kick Off</t>
  </si>
  <si>
    <t>Jefe de Proyecto</t>
  </si>
  <si>
    <t>x</t>
  </si>
  <si>
    <t>SCRUM MASTER</t>
  </si>
  <si>
    <t>Jose Valenzuela</t>
  </si>
  <si>
    <t>Selección del proyecto y viabilidad</t>
  </si>
  <si>
    <t>PRODUCT OWNER</t>
  </si>
  <si>
    <t>Felipe Verdugo</t>
  </si>
  <si>
    <t>Definición de requerimientos generales</t>
  </si>
  <si>
    <t>LEAD DEVELOPER</t>
  </si>
  <si>
    <t>Felipe Catalan</t>
  </si>
  <si>
    <t>Presentación del proyecto y Planificación de Sprints</t>
  </si>
  <si>
    <t xml:space="preserve">Fase Diseño </t>
  </si>
  <si>
    <t>Captura de requerimientos Específicos</t>
  </si>
  <si>
    <t>Creacion de historias de usuario</t>
  </si>
  <si>
    <t>Diseño y modelamiento de mockups (Prototipos UI/UX)</t>
  </si>
  <si>
    <t>Analista Funcional</t>
  </si>
  <si>
    <t>Arquitectura del proyecto</t>
  </si>
  <si>
    <t>COSTO POR FASE</t>
  </si>
  <si>
    <t>Estructura BD y Datos de Prueba</t>
  </si>
  <si>
    <t>Programador</t>
  </si>
  <si>
    <t>Hrs.Sem.</t>
  </si>
  <si>
    <t>Fase de Desarrollo</t>
  </si>
  <si>
    <t>HRS.Mens.</t>
  </si>
  <si>
    <t>Sueldo/180hrs</t>
  </si>
  <si>
    <t>PROMEDIO</t>
  </si>
  <si>
    <t>PROGRAMADOR</t>
  </si>
  <si>
    <t>INGENIERO</t>
  </si>
  <si>
    <t>DISEÑADOR</t>
  </si>
  <si>
    <t>Ingreso Primer Año</t>
  </si>
  <si>
    <t>HUF-10: Autenticación, Roles y Seguridad</t>
  </si>
  <si>
    <t>Ingreso Experiencia</t>
  </si>
  <si>
    <t>ANALISTA PROGRAMADOR</t>
  </si>
  <si>
    <t>HUF-02: Generación de Datos Sintéticos</t>
  </si>
  <si>
    <t>Fase Implementación y Cierre</t>
  </si>
  <si>
    <t>HUF-01: Importación de Notas ETL</t>
  </si>
  <si>
    <t>Total HH por Fase</t>
  </si>
  <si>
    <t>HUF-03: Chatbot Pedagógico IA</t>
  </si>
  <si>
    <t>HUF-05: Mensajería a Apoderados WhatsApp</t>
  </si>
  <si>
    <t>COSTO HH POR ROL</t>
  </si>
  <si>
    <t>HUF-07: Buscador Directivo Inteligente</t>
  </si>
  <si>
    <t>HUF-06: Detección de Riesgo Escolar</t>
  </si>
  <si>
    <t>HUF-09: Mapa Térmico de Rendimiento</t>
  </si>
  <si>
    <t>HUF-08: Dashboard Institucional</t>
  </si>
  <si>
    <t>TOTAL HH</t>
  </si>
  <si>
    <t>HUF-04: Redactor Automático de Informes</t>
  </si>
  <si>
    <t>Pruebas unitarias e integración</t>
  </si>
  <si>
    <t>COSTO POR COMPONENTE CODIFICACION</t>
  </si>
  <si>
    <t>Pruebas de usabilidad y regresión local</t>
  </si>
  <si>
    <t>Orquestación Final Docker y Despliegue</t>
  </si>
  <si>
    <t>Redacción del Informe Final y Presentación</t>
  </si>
  <si>
    <t>Marcha Blanca</t>
  </si>
  <si>
    <t>Cierre de Proyecto</t>
  </si>
  <si>
    <t>Total</t>
  </si>
  <si>
    <t>TOTAL CODIFICACION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</si>
</sst>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20.0"/>
      <color theme="1"/>
      <name val="Calibri"/>
    </font>
    <font/>
    <font>
      <b/>
      <sz val="14.0"/>
      <color theme="0"/>
      <name val="Calibri"/>
    </font>
    <font>
      <b/>
      <sz val="14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b/>
      <sz val="11.0"/>
      <color rgb="FFFF0000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left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shrinkToFit="0" wrapText="1"/>
    </xf>
    <xf borderId="5" fillId="3" fontId="5" numFmtId="0" xfId="0" applyBorder="1" applyFill="1" applyFont="1"/>
    <xf borderId="5" fillId="3" fontId="6" numFmtId="0" xfId="0" applyAlignment="1" applyBorder="1" applyFill="1" applyFont="1">
      <alignment horizontal="center"/>
    </xf>
    <xf borderId="0" fillId="0" fontId="7" numFmtId="0" xfId="0" applyAlignment="1" applyFont="1">
      <alignment horizontal="left"/>
    </xf>
    <xf borderId="6" fillId="3" fontId="5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6" fillId="3" fontId="5" numFmtId="0" xfId="0" applyAlignment="1" applyBorder="1" applyFill="1" applyFont="1">
      <alignment horizontal="center" shrinkToFit="0" wrapText="1"/>
    </xf>
    <xf borderId="5" fillId="4" fontId="8" numFmtId="0" xfId="0" applyBorder="1" applyFill="1" applyFont="1"/>
    <xf borderId="5" fillId="4" fontId="8" numFmtId="0" xfId="0" applyAlignment="1" applyBorder="1" applyFill="1" applyFont="1">
      <alignment horizontal="center"/>
    </xf>
    <xf borderId="6" fillId="4" fontId="8" numFmtId="0" xfId="0" applyAlignment="1" applyBorder="1" applyFill="1" applyFont="1">
      <alignment horizontal="center"/>
    </xf>
    <xf borderId="5" fillId="4" fontId="9" numFmtId="0" xfId="0" applyAlignment="1" applyBorder="1" applyFill="1" applyFont="1">
      <alignment horizontal="center" readingOrder="0"/>
    </xf>
    <xf borderId="9" fillId="2" fontId="1" numFmtId="0" xfId="0" applyAlignment="1" applyBorder="1" applyFill="1" applyFont="1">
      <alignment horizontal="center"/>
    </xf>
    <xf borderId="4" fillId="2" fontId="1" numFmtId="0" xfId="0" applyBorder="1" applyFill="1" applyFont="1"/>
    <xf borderId="5" fillId="4" fontId="8" numFmtId="0" xfId="0" applyAlignment="1" applyBorder="1" applyFill="1" applyFont="1">
      <alignment shrinkToFit="0" wrapText="1"/>
    </xf>
    <xf borderId="5" fillId="5" fontId="10" numFmtId="0" xfId="0" applyAlignment="1" applyBorder="1" applyFill="1" applyFont="1">
      <alignment readingOrder="0" vertical="center"/>
    </xf>
    <xf borderId="5" fillId="0" fontId="1" numFmtId="0" xfId="0" applyBorder="1" applyFont="1"/>
    <xf borderId="5" fillId="2" fontId="1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5" fillId="2" fontId="1" numFmtId="0" xfId="0" applyAlignment="1" applyBorder="1" applyFill="1" applyFont="1">
      <alignment horizontal="center" readingOrder="0"/>
    </xf>
    <xf borderId="5" fillId="0" fontId="1" numFmtId="9" xfId="0" applyAlignment="1" applyBorder="1" applyFont="1" applyNumberFormat="1">
      <alignment horizontal="center"/>
    </xf>
    <xf borderId="3" fillId="2" fontId="1" numFmtId="0" xfId="0" applyBorder="1" applyFill="1" applyFont="1"/>
    <xf borderId="5" fillId="2" fontId="1" numFmtId="0" xfId="0" applyAlignment="1" applyBorder="1" applyFill="1" applyFont="1">
      <alignment readingOrder="0"/>
    </xf>
    <xf borderId="5" fillId="2" fontId="1" numFmtId="164" xfId="0" applyAlignment="1" applyBorder="1" applyFill="1" applyFont="1" applyNumberFormat="1">
      <alignment readingOrder="0"/>
    </xf>
    <xf borderId="5" fillId="5" fontId="12" numFmtId="0" xfId="0" applyAlignment="1" applyBorder="1" applyFill="1" applyFont="1">
      <alignment readingOrder="0" vertical="center"/>
    </xf>
    <xf borderId="5" fillId="2" fontId="2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readingOrder="0" vertical="center"/>
    </xf>
    <xf borderId="9" fillId="2" fontId="1" numFmtId="0" xfId="0" applyBorder="1" applyFill="1" applyFont="1"/>
    <xf borderId="1" fillId="5" fontId="12" numFmtId="0" xfId="0" applyAlignment="1" applyBorder="1" applyFill="1" applyFont="1">
      <alignment vertical="center"/>
    </xf>
    <xf borderId="5" fillId="0" fontId="1" numFmtId="164" xfId="0" applyBorder="1" applyFont="1" applyNumberFormat="1"/>
    <xf borderId="5" fillId="5" fontId="13" numFmtId="0" xfId="0" applyAlignment="1" applyBorder="1" applyFill="1" applyFont="1">
      <alignment readingOrder="0" vertical="center"/>
    </xf>
    <xf borderId="10" fillId="2" fontId="1" numFmtId="0" xfId="0" applyBorder="1" applyFill="1" applyFont="1"/>
    <xf borderId="2" fillId="2" fontId="1" numFmtId="0" xfId="0" applyBorder="1" applyFill="1" applyFont="1"/>
    <xf borderId="6" fillId="4" fontId="8" numFmtId="0" xfId="0" applyAlignment="1" applyBorder="1" applyFill="1" applyFont="1">
      <alignment horizontal="left"/>
    </xf>
    <xf borderId="5" fillId="2" fontId="14" numFmtId="0" xfId="0" applyBorder="1" applyFill="1" applyFont="1"/>
    <xf borderId="5" fillId="2" fontId="1" numFmtId="164" xfId="0" applyBorder="1" applyFill="1" applyFont="1" applyNumberFormat="1"/>
    <xf borderId="0" fillId="0" fontId="15" numFmtId="0" xfId="0" applyFont="1"/>
    <xf borderId="5" fillId="4" fontId="8" numFmtId="0" xfId="0" applyAlignment="1" applyBorder="1" applyFill="1" applyFont="1">
      <alignment horizontal="left" vertical="center"/>
    </xf>
    <xf borderId="5" fillId="0" fontId="14" numFmtId="0" xfId="0" applyBorder="1" applyFont="1"/>
    <xf borderId="5" fillId="5" fontId="1" numFmtId="0" xfId="0" applyAlignment="1" applyBorder="1" applyFill="1" applyFont="1">
      <alignment horizontal="left" readingOrder="0" vertical="center"/>
    </xf>
    <xf borderId="5" fillId="0" fontId="1" numFmtId="164" xfId="0" applyAlignment="1" applyBorder="1" applyFont="1" applyNumberFormat="1">
      <alignment readingOrder="0"/>
    </xf>
    <xf borderId="5" fillId="2" fontId="14" numFmtId="0" xfId="0" applyAlignment="1" applyBorder="1" applyFill="1" applyFont="1">
      <alignment horizontal="left" vertical="center"/>
    </xf>
    <xf borderId="5" fillId="5" fontId="16" numFmtId="0" xfId="0" applyAlignment="1" applyBorder="1" applyFill="1" applyFont="1">
      <alignment horizontal="left" readingOrder="0" vertical="center"/>
    </xf>
    <xf borderId="5" fillId="6" fontId="17" numFmtId="0" xfId="0" applyBorder="1" applyFill="1" applyFont="1"/>
    <xf borderId="5" fillId="2" fontId="17" numFmtId="164" xfId="0" applyBorder="1" applyFill="1" applyFont="1" applyNumberFormat="1"/>
    <xf borderId="5" fillId="5" fontId="18" numFmtId="0" xfId="0" applyAlignment="1" applyBorder="1" applyFill="1" applyFont="1">
      <alignment horizontal="left" readingOrder="0" vertical="center"/>
    </xf>
    <xf borderId="5" fillId="2" fontId="1" numFmtId="0" xfId="0" applyAlignment="1" applyBorder="1" applyFill="1" applyFont="1">
      <alignment horizontal="center"/>
    </xf>
    <xf borderId="5" fillId="4" fontId="8" numFmtId="0" xfId="0" applyAlignment="1" applyBorder="1" applyFill="1" applyFont="1">
      <alignment horizontal="center" readingOrder="0"/>
    </xf>
    <xf borderId="5" fillId="4" fontId="1" numFmtId="0" xfId="0" applyBorder="1" applyFill="1" applyFont="1"/>
    <xf borderId="5" fillId="5" fontId="14" numFmtId="0" xfId="0" applyAlignment="1" applyBorder="1" applyFill="1" applyFont="1">
      <alignment horizontal="left" vertical="center"/>
    </xf>
    <xf borderId="5" fillId="5" fontId="12" numFmtId="0" xfId="0" applyAlignment="1" applyBorder="1" applyFill="1" applyFont="1">
      <alignment readingOrder="0"/>
    </xf>
    <xf borderId="5" fillId="2" fontId="10" numFmtId="0" xfId="0" applyBorder="1" applyFill="1" applyFont="1"/>
    <xf borderId="5" fillId="4" fontId="19" numFmtId="0" xfId="0" applyBorder="1" applyFill="1" applyFont="1"/>
    <xf borderId="5" fillId="4" fontId="5" numFmtId="0" xfId="0" applyAlignment="1" applyBorder="1" applyFill="1" applyFont="1">
      <alignment vertical="center"/>
    </xf>
    <xf borderId="5" fillId="2" fontId="20" numFmtId="0" xfId="0" applyAlignment="1" applyBorder="1" applyFill="1" applyFont="1">
      <alignment horizontal="center" vertical="center"/>
    </xf>
    <xf borderId="5" fillId="2" fontId="2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9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1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55</xdr:row>
      <xdr:rowOff>114300</xdr:rowOff>
    </xdr:from>
    <xdr:ext cx="4267200" cy="1866900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50.86"/>
    <col customWidth="1" min="13" max="13" width="17.57"/>
    <col customWidth="1" min="14" max="26" width="11.43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" t="s">
        <v>0</v>
      </c>
      <c r="B2" s="5"/>
      <c r="C2" s="5"/>
      <c r="D2" s="5"/>
      <c r="E2" s="5"/>
      <c r="F2" s="5"/>
      <c r="G2" s="5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B3" s="7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10" t="s">
        <v>2</v>
      </c>
      <c r="B4" s="11"/>
      <c r="C4" s="13" t="s">
        <v>3</v>
      </c>
      <c r="D4" s="14"/>
      <c r="E4" s="14"/>
      <c r="F4" s="14"/>
      <c r="G4" s="14"/>
      <c r="H4" s="15"/>
      <c r="I4" s="9"/>
      <c r="J4" s="16" t="s">
        <v>5</v>
      </c>
      <c r="K4" s="14"/>
      <c r="L4" s="15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17" t="s">
        <v>7</v>
      </c>
      <c r="B5" s="18" t="s">
        <v>8</v>
      </c>
      <c r="C5" s="20" t="s">
        <v>9</v>
      </c>
      <c r="D5" s="20" t="s">
        <v>10</v>
      </c>
      <c r="E5" s="20" t="s">
        <v>11</v>
      </c>
      <c r="F5" s="21"/>
      <c r="G5" s="21"/>
      <c r="H5" s="21"/>
      <c r="I5" s="22"/>
      <c r="J5" s="23" t="s">
        <v>12</v>
      </c>
      <c r="K5" s="23" t="s">
        <v>13</v>
      </c>
      <c r="L5" s="23" t="s">
        <v>16</v>
      </c>
      <c r="M5" s="23" t="s">
        <v>18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4" t="s">
        <v>21</v>
      </c>
      <c r="B6" s="26">
        <v>2.0</v>
      </c>
      <c r="C6" s="28">
        <v>2.0</v>
      </c>
      <c r="D6" s="28">
        <v>2.0</v>
      </c>
      <c r="E6" s="28">
        <v>2.0</v>
      </c>
      <c r="F6" s="3"/>
      <c r="G6" s="3"/>
      <c r="H6" s="3"/>
      <c r="I6" s="30"/>
      <c r="J6" s="31" t="s">
        <v>10</v>
      </c>
      <c r="K6" s="31" t="s">
        <v>24</v>
      </c>
      <c r="L6" s="31" t="s">
        <v>25</v>
      </c>
      <c r="M6" s="32">
        <v>6000.0</v>
      </c>
      <c r="N6" s="2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33" t="s">
        <v>26</v>
      </c>
      <c r="B7" s="34">
        <v>1.0</v>
      </c>
      <c r="C7" s="28">
        <v>2.0</v>
      </c>
      <c r="D7" s="28">
        <v>2.0</v>
      </c>
      <c r="E7" s="28">
        <v>2.0</v>
      </c>
      <c r="F7" s="3"/>
      <c r="G7" s="3"/>
      <c r="H7" s="3"/>
      <c r="I7" s="30"/>
      <c r="J7" s="31" t="s">
        <v>9</v>
      </c>
      <c r="K7" s="31" t="s">
        <v>27</v>
      </c>
      <c r="L7" s="31" t="s">
        <v>28</v>
      </c>
      <c r="M7" s="32">
        <v>7500.0</v>
      </c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33" t="s">
        <v>29</v>
      </c>
      <c r="B8" s="34">
        <v>3.0</v>
      </c>
      <c r="C8" s="28">
        <v>8.0</v>
      </c>
      <c r="D8" s="28">
        <v>4.0</v>
      </c>
      <c r="E8" s="28">
        <v>2.0</v>
      </c>
      <c r="F8" s="3"/>
      <c r="G8" s="3"/>
      <c r="H8" s="3"/>
      <c r="I8" s="30"/>
      <c r="J8" s="31" t="s">
        <v>11</v>
      </c>
      <c r="K8" s="31" t="s">
        <v>30</v>
      </c>
      <c r="L8" s="31" t="s">
        <v>31</v>
      </c>
      <c r="M8" s="32">
        <v>5000.0</v>
      </c>
      <c r="N8" s="2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5" t="s">
        <v>32</v>
      </c>
      <c r="B9" s="34">
        <v>2.0</v>
      </c>
      <c r="C9" s="28">
        <v>4.0</v>
      </c>
      <c r="D9" s="28">
        <v>6.0</v>
      </c>
      <c r="E9" s="28">
        <v>2.0</v>
      </c>
      <c r="F9" s="3"/>
      <c r="G9" s="3"/>
      <c r="H9" s="3"/>
      <c r="I9" s="30"/>
      <c r="J9" s="36"/>
      <c r="K9" s="36"/>
      <c r="L9" s="36"/>
      <c r="M9" s="36"/>
      <c r="N9" s="2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7" t="s">
        <v>33</v>
      </c>
      <c r="B10" s="18" t="s">
        <v>8</v>
      </c>
      <c r="C10" s="20" t="s">
        <v>9</v>
      </c>
      <c r="D10" s="20" t="s">
        <v>10</v>
      </c>
      <c r="E10" s="20" t="s">
        <v>11</v>
      </c>
      <c r="F10" s="3"/>
      <c r="G10" s="3"/>
      <c r="H10" s="3"/>
      <c r="I10" s="30"/>
      <c r="J10" s="1"/>
      <c r="K10" s="1"/>
      <c r="L10" s="1"/>
      <c r="M10" s="1"/>
      <c r="N10" s="2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outlineLevel="1">
      <c r="A11" s="37" t="s">
        <v>34</v>
      </c>
      <c r="B11" s="34">
        <v>2.0</v>
      </c>
      <c r="C11" s="28">
        <v>2.0</v>
      </c>
      <c r="D11" s="28">
        <v>2.0</v>
      </c>
      <c r="E11" s="28">
        <v>4.0</v>
      </c>
      <c r="F11" s="3"/>
      <c r="G11" s="3"/>
      <c r="H11" s="3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39" t="s">
        <v>35</v>
      </c>
      <c r="B12" s="34">
        <v>2.0</v>
      </c>
      <c r="C12" s="28">
        <v>4.0</v>
      </c>
      <c r="D12" s="28">
        <v>4.0</v>
      </c>
      <c r="E12" s="28">
        <v>4.0</v>
      </c>
      <c r="F12" s="3"/>
      <c r="G12" s="3"/>
      <c r="H12" s="3"/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39" t="s">
        <v>36</v>
      </c>
      <c r="B13" s="34">
        <v>4.0</v>
      </c>
      <c r="C13" s="28">
        <v>8.0</v>
      </c>
      <c r="D13" s="28">
        <v>2.0</v>
      </c>
      <c r="E13" s="28">
        <v>1.0</v>
      </c>
      <c r="F13" s="3"/>
      <c r="G13" s="3"/>
      <c r="H13" s="3"/>
      <c r="I13" s="22"/>
      <c r="J13" s="1"/>
      <c r="K13" s="1"/>
      <c r="L13" s="40"/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35" t="s">
        <v>38</v>
      </c>
      <c r="B14" s="34">
        <v>4.0</v>
      </c>
      <c r="C14" s="28">
        <v>2.0</v>
      </c>
      <c r="D14" s="28">
        <v>8.0</v>
      </c>
      <c r="E14" s="28">
        <v>8.0</v>
      </c>
      <c r="F14" s="3"/>
      <c r="G14" s="3"/>
      <c r="H14" s="3"/>
      <c r="I14" s="22"/>
      <c r="J14" s="1"/>
      <c r="K14" s="41"/>
      <c r="L14" s="42" t="s">
        <v>39</v>
      </c>
      <c r="M14" s="1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9" t="s">
        <v>40</v>
      </c>
      <c r="B15" s="34">
        <v>4.0</v>
      </c>
      <c r="C15" s="28">
        <v>1.0</v>
      </c>
      <c r="D15" s="28">
        <v>4.0</v>
      </c>
      <c r="E15" s="28">
        <v>8.0</v>
      </c>
      <c r="F15" s="3"/>
      <c r="G15" s="3"/>
      <c r="H15" s="3"/>
      <c r="I15" s="22"/>
      <c r="J15" s="1"/>
      <c r="K15" s="1"/>
      <c r="L15" s="43" t="s">
        <v>7</v>
      </c>
      <c r="M15" s="44">
        <f>SUM(C6:C9)*M7+SUM(D6:D9)*M6+SUM(E6:E9)*M8</f>
        <v>244000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46" t="s">
        <v>43</v>
      </c>
      <c r="B16" s="18" t="s">
        <v>8</v>
      </c>
      <c r="C16" s="20" t="s">
        <v>9</v>
      </c>
      <c r="D16" s="20" t="s">
        <v>10</v>
      </c>
      <c r="E16" s="20" t="s">
        <v>11</v>
      </c>
      <c r="F16" s="3"/>
      <c r="G16" s="3"/>
      <c r="H16" s="3"/>
      <c r="I16" s="22"/>
      <c r="J16" s="1"/>
      <c r="K16" s="1"/>
      <c r="L16" s="43" t="s">
        <v>33</v>
      </c>
      <c r="M16" s="44">
        <f>SUM(C11:C15)*M7+SUM(D11:D15)*M6+SUM(E11:E15)*M8</f>
        <v>372500</v>
      </c>
      <c r="N16" s="2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outlineLevel="1">
      <c r="A17" s="48" t="s">
        <v>51</v>
      </c>
      <c r="B17" s="26">
        <v>2.0</v>
      </c>
      <c r="C17" s="28">
        <v>2.0</v>
      </c>
      <c r="D17" s="28">
        <v>2.0</v>
      </c>
      <c r="E17" s="28">
        <v>6.0</v>
      </c>
      <c r="F17" s="3"/>
      <c r="G17" s="3"/>
      <c r="H17" s="3"/>
      <c r="I17" s="22"/>
      <c r="J17" s="1"/>
      <c r="K17" s="1"/>
      <c r="L17" s="50" t="s">
        <v>43</v>
      </c>
      <c r="M17" s="44">
        <f>SUM(C17:C26)*M7+SUM(D17:D26)*M6+SUM(E17:E26)*M8</f>
        <v>1052000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48" t="s">
        <v>54</v>
      </c>
      <c r="B18" s="34">
        <v>2.0</v>
      </c>
      <c r="C18" s="28"/>
      <c r="D18" s="28">
        <v>6.0</v>
      </c>
      <c r="E18" s="28">
        <v>4.0</v>
      </c>
      <c r="F18" s="3"/>
      <c r="G18" s="3"/>
      <c r="H18" s="3"/>
      <c r="I18" s="22"/>
      <c r="J18" s="1"/>
      <c r="K18" s="1"/>
      <c r="L18" s="43" t="s">
        <v>55</v>
      </c>
      <c r="M18" s="44">
        <f>SUM(C28:C33)*M7+SUM(D28:D33)*M6+SUM(E28:E33)*M8</f>
        <v>454000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2">
      <c r="A19" s="51" t="s">
        <v>56</v>
      </c>
      <c r="B19" s="34">
        <v>5.0</v>
      </c>
      <c r="C19" s="28">
        <v>2.0</v>
      </c>
      <c r="D19" s="28">
        <v>10.0</v>
      </c>
      <c r="E19" s="28">
        <v>4.0</v>
      </c>
      <c r="F19" s="3"/>
      <c r="G19" s="3"/>
      <c r="H19" s="3"/>
      <c r="I19" s="22"/>
      <c r="J19" s="1"/>
      <c r="K19" s="1"/>
      <c r="L19" s="52" t="s">
        <v>57</v>
      </c>
      <c r="M19" s="53">
        <f>SUM(M15:M18)</f>
        <v>2122500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2">
      <c r="A20" s="54" t="s">
        <v>58</v>
      </c>
      <c r="B20" s="34">
        <v>8.0</v>
      </c>
      <c r="C20" s="28">
        <v>8.0</v>
      </c>
      <c r="D20" s="28">
        <v>16.0</v>
      </c>
      <c r="E20" s="28">
        <v>12.0</v>
      </c>
      <c r="F20" s="3"/>
      <c r="G20" s="3"/>
      <c r="H20" s="3"/>
      <c r="I20" s="22"/>
      <c r="J20" s="1"/>
      <c r="K20" s="1"/>
      <c r="L20" s="40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1">
      <c r="A21" s="48" t="s">
        <v>59</v>
      </c>
      <c r="B21" s="34">
        <v>2.0</v>
      </c>
      <c r="C21" s="28">
        <v>2.0</v>
      </c>
      <c r="D21" s="55"/>
      <c r="E21" s="28">
        <v>8.0</v>
      </c>
      <c r="F21" s="3"/>
      <c r="G21" s="3"/>
      <c r="H21" s="3"/>
      <c r="I21" s="22"/>
      <c r="J21" s="1"/>
      <c r="K21" s="41"/>
      <c r="L21" s="42" t="s">
        <v>60</v>
      </c>
      <c r="M21" s="1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2">
      <c r="A22" s="54" t="s">
        <v>61</v>
      </c>
      <c r="B22" s="34">
        <v>8.0</v>
      </c>
      <c r="C22" s="28">
        <v>8.0</v>
      </c>
      <c r="D22" s="28">
        <v>14.0</v>
      </c>
      <c r="E22" s="28">
        <v>12.0</v>
      </c>
      <c r="F22" s="3"/>
      <c r="G22" s="3"/>
      <c r="H22" s="3"/>
      <c r="I22" s="22"/>
      <c r="J22" s="1"/>
      <c r="K22" s="1"/>
      <c r="L22" s="31" t="s">
        <v>24</v>
      </c>
      <c r="M22" s="44">
        <f>D35*M6</f>
        <v>780000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2">
      <c r="A23" s="51" t="s">
        <v>62</v>
      </c>
      <c r="B23" s="34">
        <v>5.0</v>
      </c>
      <c r="C23" s="28"/>
      <c r="D23" s="28">
        <v>12.0</v>
      </c>
      <c r="E23" s="28">
        <v>6.0</v>
      </c>
      <c r="F23" s="3"/>
      <c r="G23" s="3"/>
      <c r="H23" s="3"/>
      <c r="I23" s="22"/>
      <c r="J23" s="1"/>
      <c r="K23" s="1"/>
      <c r="L23" s="31" t="s">
        <v>27</v>
      </c>
      <c r="M23" s="44">
        <f>C35*M7</f>
        <v>727500</v>
      </c>
      <c r="N23" s="2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1">
      <c r="A24" s="48" t="s">
        <v>63</v>
      </c>
      <c r="B24" s="34">
        <v>2.0</v>
      </c>
      <c r="C24" s="28">
        <v>6.0</v>
      </c>
      <c r="D24" s="28">
        <v>4.0</v>
      </c>
      <c r="E24" s="28">
        <v>2.0</v>
      </c>
      <c r="F24" s="3"/>
      <c r="G24" s="3"/>
      <c r="H24" s="3"/>
      <c r="I24" s="22"/>
      <c r="J24" s="1"/>
      <c r="K24" s="1"/>
      <c r="L24" s="31" t="s">
        <v>30</v>
      </c>
      <c r="M24" s="44">
        <f>E35*M8</f>
        <v>615000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2">
      <c r="A25" s="51" t="s">
        <v>64</v>
      </c>
      <c r="B25" s="34">
        <v>3.0</v>
      </c>
      <c r="C25" s="28">
        <v>10.0</v>
      </c>
      <c r="D25" s="28">
        <v>2.0</v>
      </c>
      <c r="E25" s="28">
        <v>2.0</v>
      </c>
      <c r="F25" s="3"/>
      <c r="G25" s="3"/>
      <c r="H25" s="3"/>
      <c r="I25" s="22"/>
      <c r="J25" s="1"/>
      <c r="K25" s="1"/>
      <c r="L25" s="52" t="s">
        <v>65</v>
      </c>
      <c r="M25" s="53">
        <f>SUM(M22:M24)</f>
        <v>2122500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2">
      <c r="A26" s="51" t="s">
        <v>66</v>
      </c>
      <c r="B26" s="34">
        <v>4.0</v>
      </c>
      <c r="C26" s="28">
        <v>6.0</v>
      </c>
      <c r="D26" s="28">
        <v>6.0</v>
      </c>
      <c r="E26" s="28">
        <v>2.0</v>
      </c>
      <c r="F26" s="3"/>
      <c r="G26" s="3"/>
      <c r="H26" s="3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17" t="s">
        <v>55</v>
      </c>
      <c r="B27" s="18" t="s">
        <v>8</v>
      </c>
      <c r="C27" s="20" t="s">
        <v>9</v>
      </c>
      <c r="D27" s="56" t="s">
        <v>10</v>
      </c>
      <c r="E27" s="20" t="s">
        <v>11</v>
      </c>
      <c r="F27" s="3"/>
      <c r="G27" s="3"/>
      <c r="H27" s="3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1">
      <c r="A28" s="39" t="s">
        <v>67</v>
      </c>
      <c r="B28" s="34">
        <v>5.0</v>
      </c>
      <c r="C28" s="28">
        <v>4.0</v>
      </c>
      <c r="D28" s="28">
        <v>6.0</v>
      </c>
      <c r="E28" s="28">
        <v>12.0</v>
      </c>
      <c r="F28" s="3"/>
      <c r="G28" s="3"/>
      <c r="H28" s="3"/>
      <c r="I28" s="22"/>
      <c r="J28" s="1"/>
      <c r="K28" s="1"/>
      <c r="L28" s="17" t="s">
        <v>68</v>
      </c>
      <c r="M28" s="5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2">
      <c r="A29" s="39" t="s">
        <v>69</v>
      </c>
      <c r="B29" s="34">
        <v>3.0</v>
      </c>
      <c r="C29" s="28">
        <v>4.0</v>
      </c>
      <c r="D29" s="28">
        <v>4.0</v>
      </c>
      <c r="E29" s="28">
        <v>6.0</v>
      </c>
      <c r="F29" s="3"/>
      <c r="G29" s="3"/>
      <c r="H29" s="3"/>
      <c r="I29" s="22"/>
      <c r="J29" s="1"/>
      <c r="K29" s="1"/>
      <c r="L29" s="58" t="str">
        <f t="shared" ref="L29:L38" si="1">A17</f>
        <v>HUF-10: Autenticación, Roles y Seguridad</v>
      </c>
      <c r="M29" s="44">
        <f>(C17*M7)+(D17*M6)+(E17*M8)</f>
        <v>57000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39" t="s">
        <v>70</v>
      </c>
      <c r="B30" s="34">
        <v>3.0</v>
      </c>
      <c r="C30" s="28"/>
      <c r="D30" s="28">
        <v>4.0</v>
      </c>
      <c r="E30" s="28">
        <v>8.0</v>
      </c>
      <c r="F30" s="3"/>
      <c r="G30" s="3"/>
      <c r="H30" s="3"/>
      <c r="I30" s="22"/>
      <c r="J30" s="1"/>
      <c r="K30" s="1"/>
      <c r="L30" s="58" t="str">
        <f t="shared" si="1"/>
        <v>HUF-02: Generación de Datos Sintéticos</v>
      </c>
      <c r="M30" s="44">
        <f>(C18*M7)+(D18*M6)+(E18*M8)</f>
        <v>56000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1">
      <c r="A31" s="39" t="s">
        <v>71</v>
      </c>
      <c r="B31" s="34">
        <v>2.0</v>
      </c>
      <c r="C31" s="28">
        <v>6.0</v>
      </c>
      <c r="D31" s="28">
        <v>4.0</v>
      </c>
      <c r="E31" s="28"/>
      <c r="F31" s="3"/>
      <c r="G31" s="3"/>
      <c r="H31" s="3"/>
      <c r="I31" s="22"/>
      <c r="J31" s="1"/>
      <c r="K31" s="1"/>
      <c r="L31" s="58" t="str">
        <f t="shared" si="1"/>
        <v>HUF-01: Importación de Notas ETL</v>
      </c>
      <c r="M31" s="44">
        <f>(C19*M7)+(D19*M6)+(E19*M8)</f>
        <v>95000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2">
      <c r="A32" s="59" t="s">
        <v>72</v>
      </c>
      <c r="B32" s="34">
        <v>2.0</v>
      </c>
      <c r="C32" s="28">
        <v>4.0</v>
      </c>
      <c r="D32" s="28">
        <v>4.0</v>
      </c>
      <c r="E32" s="28">
        <v>4.0</v>
      </c>
      <c r="F32" s="3"/>
      <c r="G32" s="3"/>
      <c r="H32" s="3"/>
      <c r="I32" s="22"/>
      <c r="J32" s="1"/>
      <c r="K32" s="1"/>
      <c r="L32" s="58" t="str">
        <f t="shared" si="1"/>
        <v>HUF-03: Chatbot Pedagógico IA</v>
      </c>
      <c r="M32" s="44">
        <f>(C20*M7)+(D20*M6)+(E20*M8)</f>
        <v>216000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60" t="s">
        <v>73</v>
      </c>
      <c r="B33" s="34">
        <v>1.0</v>
      </c>
      <c r="C33" s="28">
        <v>2.0</v>
      </c>
      <c r="D33" s="28">
        <v>2.0</v>
      </c>
      <c r="E33" s="28">
        <v>2.0</v>
      </c>
      <c r="F33" s="3"/>
      <c r="G33" s="3"/>
      <c r="H33" s="3"/>
      <c r="I33" s="22"/>
      <c r="J33" s="1"/>
      <c r="K33" s="1"/>
      <c r="L33" s="58" t="str">
        <f t="shared" si="1"/>
        <v>HUF-05: Mensajería a Apoderados WhatsApp</v>
      </c>
      <c r="M33" s="44">
        <f>(C21*M7)+(D21*M6)+(E21*M8)</f>
        <v>55000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61"/>
      <c r="B34" s="18" t="s">
        <v>8</v>
      </c>
      <c r="C34" s="20" t="s">
        <v>9</v>
      </c>
      <c r="D34" s="20" t="s">
        <v>10</v>
      </c>
      <c r="E34" s="20" t="s">
        <v>11</v>
      </c>
      <c r="F34" s="3"/>
      <c r="G34" s="3"/>
      <c r="H34" s="3"/>
      <c r="I34" s="22"/>
      <c r="J34" s="1"/>
      <c r="K34" s="1"/>
      <c r="L34" s="58" t="str">
        <f t="shared" si="1"/>
        <v>HUF-07: Buscador Directivo Inteligente</v>
      </c>
      <c r="M34" s="44">
        <f>(C22*M7)+(D22*M6)+(E22*M8)</f>
        <v>204000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1">
      <c r="A35" s="62" t="s">
        <v>74</v>
      </c>
      <c r="B35" s="63">
        <f>SUM(B6:B32)</f>
        <v>80</v>
      </c>
      <c r="C35" s="64">
        <f t="shared" ref="C35:E35" si="2">SUM(C6:C33)</f>
        <v>97</v>
      </c>
      <c r="D35" s="64">
        <f t="shared" si="2"/>
        <v>130</v>
      </c>
      <c r="E35" s="64">
        <f t="shared" si="2"/>
        <v>123</v>
      </c>
      <c r="F35" s="3"/>
      <c r="G35" s="3"/>
      <c r="H35" s="3"/>
      <c r="I35" s="22"/>
      <c r="J35" s="1"/>
      <c r="K35" s="1"/>
      <c r="L35" s="58" t="str">
        <f t="shared" si="1"/>
        <v>HUF-06: Detección de Riesgo Escolar</v>
      </c>
      <c r="M35" s="44">
        <f>(C23*M8)+(D23*M6)+(E23*M8)</f>
        <v>102000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1"/>
      <c r="B36" s="2"/>
      <c r="C36" s="3"/>
      <c r="D36" s="3"/>
      <c r="E36" s="21"/>
      <c r="F36" s="3"/>
      <c r="G36" s="3"/>
      <c r="H36" s="3"/>
      <c r="I36" s="22"/>
      <c r="J36" s="1"/>
      <c r="K36" s="1"/>
      <c r="L36" s="58" t="str">
        <f t="shared" si="1"/>
        <v>HUF-09: Mapa Térmico de Rendimiento</v>
      </c>
      <c r="M36" s="44">
        <f>(C24*M7)+(D24*M6)+(E24*M8)</f>
        <v>79000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1"/>
      <c r="B37" s="2"/>
      <c r="C37" s="3"/>
      <c r="D37" s="3"/>
      <c r="E37" s="3"/>
      <c r="F37" s="3"/>
      <c r="G37" s="3"/>
      <c r="H37" s="3"/>
      <c r="I37" s="22"/>
      <c r="J37" s="1"/>
      <c r="K37" s="1"/>
      <c r="L37" s="58" t="str">
        <f t="shared" si="1"/>
        <v>HUF-08: Dashboard Institucional</v>
      </c>
      <c r="M37" s="44">
        <f>(C25*M7)+(D25*M6)+(E25*M8)</f>
        <v>97000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1"/>
      <c r="B38" s="2"/>
      <c r="C38" s="3"/>
      <c r="D38" s="3"/>
      <c r="E38" s="3"/>
      <c r="F38" s="3"/>
      <c r="G38" s="3"/>
      <c r="H38" s="3"/>
      <c r="I38" s="22"/>
      <c r="J38" s="1"/>
      <c r="K38" s="1"/>
      <c r="L38" s="58" t="str">
        <f t="shared" si="1"/>
        <v>HUF-04: Redactor Automático de Informes</v>
      </c>
      <c r="M38" s="44">
        <f>(C26*M7)+(D26*M6)+(E26*M8)</f>
        <v>91000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1"/>
      <c r="B39" s="2"/>
      <c r="C39" s="3"/>
      <c r="D39" s="3"/>
      <c r="E39" s="3"/>
      <c r="F39" s="3"/>
      <c r="G39" s="3"/>
      <c r="H39" s="3"/>
      <c r="I39" s="22"/>
      <c r="J39" s="1"/>
      <c r="K39" s="1"/>
      <c r="L39" s="52" t="s">
        <v>75</v>
      </c>
      <c r="M39" s="53">
        <f>SUM(M29:M38)</f>
        <v>1052000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1"/>
      <c r="B40" s="2"/>
      <c r="C40" s="3"/>
      <c r="D40" s="3"/>
      <c r="E40" s="3"/>
      <c r="F40" s="3"/>
      <c r="G40" s="3"/>
      <c r="H40" s="3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1"/>
      <c r="B41" s="2"/>
      <c r="C41" s="3"/>
      <c r="D41" s="3"/>
      <c r="E41" s="3"/>
      <c r="F41" s="3"/>
      <c r="G41" s="3"/>
      <c r="H41" s="3"/>
      <c r="I41" s="2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outlineLevel="1">
      <c r="A42" s="1"/>
      <c r="B42" s="2"/>
      <c r="C42" s="3"/>
      <c r="D42" s="3"/>
      <c r="E42" s="3"/>
      <c r="F42" s="3"/>
      <c r="G42" s="3"/>
      <c r="H42" s="3"/>
      <c r="I42" s="2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"/>
      <c r="C43" s="3"/>
      <c r="D43" s="3"/>
      <c r="E43" s="3"/>
      <c r="F43" s="3"/>
      <c r="G43" s="3"/>
      <c r="H43" s="3"/>
      <c r="I43" s="2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1"/>
      <c r="B44" s="2"/>
      <c r="C44" s="3"/>
      <c r="D44" s="3"/>
      <c r="E44" s="3"/>
      <c r="F44" s="3"/>
      <c r="G44" s="3"/>
      <c r="H44" s="3"/>
      <c r="I44" s="2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1"/>
      <c r="B45" s="2"/>
      <c r="C45" s="3"/>
      <c r="D45" s="3"/>
      <c r="E45" s="3"/>
      <c r="F45" s="3"/>
      <c r="G45" s="3"/>
      <c r="H45" s="3"/>
      <c r="I45" s="2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1"/>
      <c r="B46" s="2"/>
      <c r="C46" s="3"/>
      <c r="D46" s="3"/>
      <c r="E46" s="3"/>
      <c r="F46" s="3"/>
      <c r="G46" s="3"/>
      <c r="H46" s="3"/>
      <c r="I46" s="22"/>
      <c r="J46" s="1"/>
      <c r="K46" s="1"/>
      <c r="L46" s="65"/>
      <c r="M46" s="6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1"/>
      <c r="B47" s="2"/>
      <c r="C47" s="3"/>
      <c r="D47" s="3"/>
      <c r="E47" s="3"/>
      <c r="F47" s="3"/>
      <c r="G47" s="3"/>
      <c r="H47" s="3"/>
      <c r="I47" s="2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1"/>
      <c r="B48" s="2"/>
      <c r="C48" s="3"/>
      <c r="D48" s="3"/>
      <c r="E48" s="3"/>
      <c r="F48" s="3"/>
      <c r="G48" s="3"/>
      <c r="H48" s="3"/>
      <c r="I48" s="2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1"/>
      <c r="B49" s="2"/>
      <c r="C49" s="3"/>
      <c r="D49" s="3"/>
      <c r="E49" s="3"/>
      <c r="F49" s="3"/>
      <c r="G49" s="3"/>
      <c r="H49" s="3"/>
      <c r="I49" s="22"/>
      <c r="J49" s="65"/>
      <c r="K49" s="6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1"/>
      <c r="B50" s="2"/>
      <c r="C50" s="3"/>
      <c r="D50" s="3"/>
      <c r="E50" s="3"/>
      <c r="F50" s="3"/>
      <c r="G50" s="3"/>
      <c r="H50" s="3"/>
      <c r="I50" s="2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6.0" customHeight="1">
      <c r="A51" s="1"/>
      <c r="B51" s="2"/>
      <c r="C51" s="3"/>
      <c r="D51" s="3"/>
      <c r="E51" s="3"/>
      <c r="F51" s="3"/>
      <c r="G51" s="3"/>
      <c r="H51" s="3"/>
      <c r="I51" s="66"/>
      <c r="J51" s="1"/>
      <c r="K51" s="1"/>
      <c r="L51" s="1"/>
      <c r="M51" s="1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4.25" customHeight="1">
      <c r="A52" s="1"/>
      <c r="B52" s="2"/>
      <c r="C52" s="3"/>
      <c r="D52" s="3"/>
      <c r="E52" s="3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"/>
      <c r="C53" s="3"/>
      <c r="D53" s="3"/>
      <c r="E53" s="3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"/>
      <c r="C54" s="3"/>
      <c r="D54" s="3"/>
      <c r="E54" s="3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"/>
      <c r="C55" s="3"/>
      <c r="D55" s="3"/>
      <c r="E55" s="3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"/>
      <c r="C56" s="3"/>
      <c r="D56" s="3"/>
      <c r="E56" s="3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"/>
      <c r="C57" s="3"/>
      <c r="D57" s="3"/>
      <c r="E57" s="3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3"/>
      <c r="D58" s="3"/>
      <c r="E58" s="3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3"/>
      <c r="D59" s="3"/>
      <c r="E59" s="3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3"/>
      <c r="D60" s="3"/>
      <c r="E60" s="3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"/>
      <c r="C61" s="3"/>
      <c r="D61" s="3"/>
      <c r="E61" s="3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"/>
      <c r="C62" s="3"/>
      <c r="D62" s="3"/>
      <c r="E62" s="3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"/>
      <c r="C63" s="3"/>
      <c r="D63" s="3"/>
      <c r="E63" s="3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"/>
      <c r="C64" s="3"/>
      <c r="D64" s="3"/>
      <c r="E64" s="3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3"/>
      <c r="D65" s="3"/>
      <c r="E65" s="3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3"/>
      <c r="D66" s="3"/>
      <c r="E66" s="3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"/>
      <c r="C67" s="3"/>
      <c r="D67" s="3"/>
      <c r="E67" s="3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"/>
      <c r="C68" s="3"/>
      <c r="D68" s="3"/>
      <c r="E68" s="3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"/>
      <c r="C69" s="3"/>
      <c r="D69" s="3"/>
      <c r="E69" s="3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3"/>
      <c r="D70" s="3"/>
      <c r="E70" s="3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3"/>
      <c r="D71" s="3"/>
      <c r="E71" s="3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3"/>
      <c r="D72" s="3"/>
      <c r="E72" s="3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"/>
      <c r="C73" s="3"/>
      <c r="D73" s="3"/>
      <c r="E73" s="3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"/>
      <c r="C74" s="3"/>
      <c r="D74" s="3"/>
      <c r="E74" s="3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"/>
      <c r="C75" s="3"/>
      <c r="D75" s="3"/>
      <c r="E75" s="3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"/>
      <c r="C76" s="3"/>
      <c r="D76" s="3"/>
      <c r="E76" s="3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"/>
      <c r="C77" s="3"/>
      <c r="D77" s="3"/>
      <c r="E77" s="3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"/>
      <c r="C78" s="3"/>
      <c r="D78" s="3"/>
      <c r="E78" s="3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"/>
      <c r="C79" s="3"/>
      <c r="D79" s="3"/>
      <c r="E79" s="3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3"/>
      <c r="D80" s="3"/>
      <c r="E80" s="3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3"/>
      <c r="D81" s="3"/>
      <c r="E81" s="3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3"/>
      <c r="D82" s="3"/>
      <c r="E82" s="3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3"/>
      <c r="D83" s="3"/>
      <c r="E83" s="3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3"/>
      <c r="D84" s="3"/>
      <c r="E84" s="3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3"/>
      <c r="D85" s="3"/>
      <c r="E85" s="3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3"/>
      <c r="D86" s="3"/>
      <c r="E86" s="3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3"/>
      <c r="D87" s="3"/>
      <c r="E87" s="3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3"/>
      <c r="D88" s="3"/>
      <c r="E88" s="3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3"/>
      <c r="D89" s="3"/>
      <c r="E89" s="3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3"/>
      <c r="D90" s="3"/>
      <c r="E90" s="3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3"/>
      <c r="D91" s="3"/>
      <c r="E91" s="3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3"/>
      <c r="D92" s="3"/>
      <c r="E92" s="3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3"/>
      <c r="D93" s="3"/>
      <c r="E93" s="3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3"/>
      <c r="D94" s="3"/>
      <c r="E94" s="3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3"/>
      <c r="D95" s="3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3"/>
      <c r="D96" s="3"/>
      <c r="E96" s="3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3"/>
      <c r="D97" s="3"/>
      <c r="E97" s="3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3"/>
      <c r="D98" s="3"/>
      <c r="E98" s="3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3"/>
      <c r="D99" s="3"/>
      <c r="E99" s="3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3"/>
      <c r="D100" s="3"/>
      <c r="E100" s="3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3"/>
      <c r="D101" s="3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3"/>
      <c r="D102" s="3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3"/>
      <c r="D103" s="3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3"/>
      <c r="D104" s="3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3"/>
      <c r="D105" s="3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3"/>
      <c r="D106" s="3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3"/>
      <c r="D107" s="3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3"/>
      <c r="D108" s="3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3"/>
      <c r="D109" s="3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3"/>
      <c r="D110" s="3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3"/>
      <c r="D111" s="3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3"/>
      <c r="D112" s="3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3"/>
      <c r="D113" s="3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3"/>
      <c r="D114" s="3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3"/>
      <c r="D115" s="3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3"/>
      <c r="D116" s="3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3"/>
      <c r="D117" s="3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3"/>
      <c r="D118" s="3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3"/>
      <c r="D119" s="3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3"/>
      <c r="D120" s="3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3"/>
      <c r="D121" s="3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3"/>
      <c r="D122" s="3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3"/>
      <c r="D123" s="3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3"/>
      <c r="D124" s="3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3"/>
      <c r="D125" s="3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3"/>
      <c r="D126" s="3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3"/>
      <c r="D127" s="3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3"/>
      <c r="D128" s="3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3"/>
      <c r="D129" s="3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3"/>
      <c r="D130" s="3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3"/>
      <c r="D131" s="3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3"/>
      <c r="D132" s="3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3"/>
      <c r="D133" s="3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3"/>
      <c r="D134" s="3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3"/>
      <c r="D135" s="3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3"/>
      <c r="D136" s="3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3"/>
      <c r="D137" s="3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3"/>
      <c r="D138" s="3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3"/>
      <c r="D139" s="3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3"/>
      <c r="D140" s="3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3"/>
      <c r="D141" s="3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3"/>
      <c r="D142" s="3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3"/>
      <c r="D143" s="3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3"/>
      <c r="D144" s="3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3"/>
      <c r="D145" s="3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3"/>
      <c r="D146" s="3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3"/>
      <c r="D147" s="3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3"/>
      <c r="D148" s="3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3"/>
      <c r="D149" s="3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3"/>
      <c r="D150" s="3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3"/>
      <c r="D151" s="3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3"/>
      <c r="D152" s="3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3"/>
      <c r="D153" s="3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3"/>
      <c r="D154" s="3"/>
      <c r="E154" s="3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3"/>
      <c r="D155" s="3"/>
      <c r="E155" s="3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3"/>
      <c r="D156" s="3"/>
      <c r="E156" s="3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3"/>
      <c r="D157" s="3"/>
      <c r="E157" s="3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3"/>
      <c r="D158" s="3"/>
      <c r="E158" s="3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3"/>
      <c r="D159" s="3"/>
      <c r="E159" s="3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3"/>
      <c r="D160" s="3"/>
      <c r="E160" s="3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3"/>
      <c r="D161" s="3"/>
      <c r="E161" s="3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3"/>
      <c r="D162" s="3"/>
      <c r="E162" s="3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3"/>
      <c r="D163" s="3"/>
      <c r="E163" s="3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3"/>
      <c r="D164" s="3"/>
      <c r="E164" s="3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3"/>
      <c r="D165" s="3"/>
      <c r="E165" s="3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3"/>
      <c r="D166" s="3"/>
      <c r="E166" s="3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3"/>
      <c r="D167" s="3"/>
      <c r="E167" s="3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3"/>
      <c r="D168" s="3"/>
      <c r="E168" s="3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3"/>
      <c r="D169" s="3"/>
      <c r="E169" s="3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3"/>
      <c r="D170" s="3"/>
      <c r="E170" s="3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3"/>
      <c r="D171" s="3"/>
      <c r="E171" s="3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3"/>
      <c r="D172" s="3"/>
      <c r="E172" s="3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3"/>
      <c r="D173" s="3"/>
      <c r="E173" s="3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3"/>
      <c r="D174" s="3"/>
      <c r="E174" s="3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3"/>
      <c r="D175" s="3"/>
      <c r="E175" s="3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3"/>
      <c r="D176" s="3"/>
      <c r="E176" s="3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3"/>
      <c r="D177" s="3"/>
      <c r="E177" s="3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3"/>
      <c r="D178" s="3"/>
      <c r="E178" s="3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3"/>
      <c r="D179" s="3"/>
      <c r="E179" s="3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3"/>
      <c r="D180" s="3"/>
      <c r="E180" s="3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3"/>
      <c r="D181" s="3"/>
      <c r="E181" s="3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3"/>
      <c r="D182" s="3"/>
      <c r="E182" s="3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3"/>
      <c r="D183" s="3"/>
      <c r="E183" s="3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3"/>
      <c r="D184" s="3"/>
      <c r="E184" s="3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3"/>
      <c r="D185" s="3"/>
      <c r="E185" s="3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3"/>
      <c r="D186" s="3"/>
      <c r="E186" s="3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3"/>
      <c r="D187" s="3"/>
      <c r="E187" s="3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3"/>
      <c r="D188" s="3"/>
      <c r="E188" s="3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3"/>
      <c r="D189" s="3"/>
      <c r="E189" s="3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3"/>
      <c r="D190" s="3"/>
      <c r="E190" s="3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3"/>
      <c r="D191" s="3"/>
      <c r="E191" s="3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3"/>
      <c r="D192" s="3"/>
      <c r="E192" s="3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3"/>
      <c r="D193" s="3"/>
      <c r="E193" s="3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3"/>
      <c r="D194" s="3"/>
      <c r="E194" s="3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3"/>
      <c r="D195" s="3"/>
      <c r="E195" s="3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3"/>
      <c r="D196" s="3"/>
      <c r="E196" s="3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3"/>
      <c r="D197" s="3"/>
      <c r="E197" s="3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3"/>
      <c r="D198" s="3"/>
      <c r="E198" s="3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3"/>
      <c r="D199" s="3"/>
      <c r="E199" s="3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3"/>
      <c r="D200" s="3"/>
      <c r="E200" s="3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3"/>
      <c r="D201" s="3"/>
      <c r="E201" s="3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3"/>
      <c r="D202" s="3"/>
      <c r="E202" s="3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3"/>
      <c r="D203" s="3"/>
      <c r="E203" s="3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3"/>
      <c r="D204" s="3"/>
      <c r="E204" s="3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3"/>
      <c r="D205" s="3"/>
      <c r="E205" s="3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3"/>
      <c r="D206" s="3"/>
      <c r="E206" s="3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3"/>
      <c r="D207" s="3"/>
      <c r="E207" s="3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3"/>
      <c r="D208" s="3"/>
      <c r="E208" s="3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3"/>
      <c r="D209" s="3"/>
      <c r="E209" s="3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3"/>
      <c r="D210" s="3"/>
      <c r="E210" s="3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3"/>
      <c r="D211" s="3"/>
      <c r="E211" s="3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3"/>
      <c r="D212" s="3"/>
      <c r="E212" s="3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3"/>
      <c r="D213" s="3"/>
      <c r="E213" s="3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3"/>
      <c r="D214" s="3"/>
      <c r="E214" s="3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3"/>
      <c r="D215" s="3"/>
      <c r="E215" s="3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3"/>
      <c r="D216" s="3"/>
      <c r="E216" s="3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3"/>
      <c r="D217" s="3"/>
      <c r="E217" s="3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3"/>
      <c r="D218" s="3"/>
      <c r="E218" s="3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3"/>
      <c r="D219" s="3"/>
      <c r="E219" s="3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3"/>
      <c r="D220" s="3"/>
      <c r="E220" s="3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3"/>
      <c r="D221" s="3"/>
      <c r="E221" s="3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3"/>
      <c r="D222" s="3"/>
      <c r="E222" s="3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3"/>
      <c r="D223" s="3"/>
      <c r="E223" s="3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3"/>
      <c r="D224" s="3"/>
      <c r="E224" s="3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3"/>
      <c r="D225" s="3"/>
      <c r="E225" s="3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3"/>
      <c r="D226" s="3"/>
      <c r="E226" s="3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3"/>
      <c r="D227" s="3"/>
      <c r="E227" s="3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3"/>
      <c r="D228" s="3"/>
      <c r="E228" s="3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3"/>
      <c r="D229" s="3"/>
      <c r="E229" s="3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3"/>
      <c r="D230" s="3"/>
      <c r="E230" s="3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3"/>
      <c r="D231" s="3"/>
      <c r="E231" s="3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3"/>
      <c r="D232" s="3"/>
      <c r="E232" s="3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3"/>
      <c r="D233" s="3"/>
      <c r="E233" s="3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3"/>
      <c r="D234" s="3"/>
      <c r="E234" s="3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3"/>
      <c r="D235" s="3"/>
      <c r="E235" s="3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3"/>
      <c r="D236" s="3"/>
      <c r="E236" s="3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3"/>
      <c r="D237" s="3"/>
      <c r="E237" s="3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3"/>
      <c r="D238" s="3"/>
      <c r="E238" s="3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3"/>
      <c r="D239" s="3"/>
      <c r="E239" s="3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3"/>
      <c r="D240" s="3"/>
      <c r="E240" s="3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3"/>
      <c r="D241" s="3"/>
      <c r="E241" s="3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3"/>
      <c r="D242" s="3"/>
      <c r="E242" s="3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3"/>
      <c r="D243" s="3"/>
      <c r="E243" s="3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3"/>
      <c r="D244" s="3"/>
      <c r="E244" s="3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3"/>
      <c r="D245" s="3"/>
      <c r="E245" s="3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3"/>
      <c r="D246" s="3"/>
      <c r="E246" s="3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3"/>
      <c r="D247" s="3"/>
      <c r="E247" s="3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3"/>
      <c r="D248" s="3"/>
      <c r="E248" s="3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3"/>
      <c r="D249" s="3"/>
      <c r="E249" s="3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3"/>
      <c r="D250" s="3"/>
      <c r="E250" s="3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3"/>
      <c r="D251" s="3"/>
      <c r="E251" s="3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3"/>
      <c r="D252" s="3"/>
      <c r="E252" s="3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3"/>
      <c r="D253" s="3"/>
      <c r="E253" s="3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3"/>
      <c r="D254" s="3"/>
      <c r="E254" s="3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3"/>
      <c r="D255" s="3"/>
      <c r="E255" s="3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3"/>
      <c r="D256" s="3"/>
      <c r="E256" s="3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3"/>
      <c r="D257" s="3"/>
      <c r="E257" s="3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3"/>
      <c r="D258" s="3"/>
      <c r="E258" s="3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3"/>
      <c r="D259" s="3"/>
      <c r="E259" s="3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3"/>
      <c r="D260" s="3"/>
      <c r="E260" s="3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3"/>
      <c r="D261" s="3"/>
      <c r="E261" s="3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3"/>
      <c r="D262" s="3"/>
      <c r="E262" s="3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3"/>
      <c r="D263" s="3"/>
      <c r="E263" s="3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3"/>
      <c r="D264" s="3"/>
      <c r="E264" s="3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3"/>
      <c r="D265" s="3"/>
      <c r="E265" s="3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3"/>
      <c r="D266" s="3"/>
      <c r="E266" s="3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3"/>
      <c r="D267" s="3"/>
      <c r="E267" s="3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3"/>
      <c r="D268" s="3"/>
      <c r="E268" s="3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3"/>
      <c r="D269" s="3"/>
      <c r="E269" s="3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3"/>
      <c r="D270" s="3"/>
      <c r="E270" s="3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3"/>
      <c r="D271" s="3"/>
      <c r="E271" s="3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3"/>
      <c r="D272" s="3"/>
      <c r="E272" s="3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3"/>
      <c r="D273" s="3"/>
      <c r="E273" s="3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3"/>
      <c r="D274" s="3"/>
      <c r="E274" s="3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3"/>
      <c r="D275" s="3"/>
      <c r="E275" s="3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3"/>
      <c r="D276" s="3"/>
      <c r="E276" s="3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3"/>
      <c r="D277" s="3"/>
      <c r="E277" s="3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3"/>
      <c r="D278" s="3"/>
      <c r="E278" s="3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3"/>
      <c r="D279" s="3"/>
      <c r="E279" s="3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3"/>
      <c r="D280" s="3"/>
      <c r="E280" s="3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3"/>
      <c r="D281" s="3"/>
      <c r="E281" s="3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3"/>
      <c r="D282" s="3"/>
      <c r="E282" s="3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3"/>
      <c r="D283" s="3"/>
      <c r="E283" s="3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3"/>
      <c r="D284" s="3"/>
      <c r="E284" s="3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3"/>
      <c r="D285" s="3"/>
      <c r="E285" s="3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3"/>
      <c r="D286" s="3"/>
      <c r="E286" s="3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3"/>
      <c r="D287" s="3"/>
      <c r="E287" s="3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3"/>
      <c r="D288" s="3"/>
      <c r="E288" s="3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3"/>
      <c r="D289" s="3"/>
      <c r="E289" s="3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3"/>
      <c r="D290" s="3"/>
      <c r="E290" s="3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3"/>
      <c r="D291" s="3"/>
      <c r="E291" s="3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3"/>
      <c r="D292" s="3"/>
      <c r="E292" s="3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3"/>
      <c r="D293" s="3"/>
      <c r="E293" s="3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3"/>
      <c r="D294" s="3"/>
      <c r="E294" s="3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3"/>
      <c r="D295" s="3"/>
      <c r="E295" s="3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3"/>
      <c r="D296" s="3"/>
      <c r="E296" s="3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3"/>
      <c r="D297" s="3"/>
      <c r="E297" s="3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3"/>
      <c r="D298" s="3"/>
      <c r="E298" s="3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3"/>
      <c r="D299" s="3"/>
      <c r="E299" s="3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3"/>
      <c r="D300" s="3"/>
      <c r="E300" s="3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3"/>
      <c r="D301" s="3"/>
      <c r="E301" s="3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3"/>
      <c r="D302" s="3"/>
      <c r="E302" s="3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3"/>
      <c r="D303" s="3"/>
      <c r="E303" s="3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3"/>
      <c r="D304" s="3"/>
      <c r="E304" s="3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3"/>
      <c r="D305" s="3"/>
      <c r="E305" s="3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3"/>
      <c r="D306" s="3"/>
      <c r="E306" s="3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3"/>
      <c r="D307" s="3"/>
      <c r="E307" s="3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3"/>
      <c r="D308" s="3"/>
      <c r="E308" s="3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3"/>
      <c r="D309" s="3"/>
      <c r="E309" s="3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3"/>
      <c r="D310" s="3"/>
      <c r="E310" s="3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3"/>
      <c r="D311" s="3"/>
      <c r="E311" s="3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3"/>
      <c r="D312" s="3"/>
      <c r="E312" s="3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3"/>
      <c r="D313" s="3"/>
      <c r="E313" s="3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3"/>
      <c r="D314" s="3"/>
      <c r="E314" s="3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3"/>
      <c r="D315" s="3"/>
      <c r="E315" s="3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3"/>
      <c r="D316" s="3"/>
      <c r="E316" s="3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3"/>
      <c r="D317" s="3"/>
      <c r="E317" s="3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3"/>
      <c r="D318" s="3"/>
      <c r="E318" s="3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3"/>
      <c r="D319" s="3"/>
      <c r="E319" s="3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3"/>
      <c r="D320" s="3"/>
      <c r="E320" s="3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3"/>
      <c r="D321" s="3"/>
      <c r="E321" s="3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3"/>
      <c r="D322" s="3"/>
      <c r="E322" s="3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3"/>
      <c r="D323" s="3"/>
      <c r="E323" s="3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3"/>
      <c r="D324" s="3"/>
      <c r="E324" s="3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3"/>
      <c r="D325" s="3"/>
      <c r="E325" s="3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3"/>
      <c r="D326" s="3"/>
      <c r="E326" s="3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3"/>
      <c r="D327" s="3"/>
      <c r="E327" s="3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3"/>
      <c r="D328" s="3"/>
      <c r="E328" s="3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3"/>
      <c r="D329" s="3"/>
      <c r="E329" s="3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3"/>
      <c r="D330" s="3"/>
      <c r="E330" s="3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3"/>
      <c r="D331" s="3"/>
      <c r="E331" s="3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3"/>
      <c r="D332" s="3"/>
      <c r="E332" s="3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3"/>
      <c r="D333" s="3"/>
      <c r="E333" s="3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3"/>
      <c r="D334" s="3"/>
      <c r="E334" s="3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3"/>
      <c r="D335" s="3"/>
      <c r="E335" s="3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3"/>
      <c r="D336" s="3"/>
      <c r="E336" s="3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3"/>
      <c r="D337" s="3"/>
      <c r="E337" s="3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3"/>
      <c r="D338" s="3"/>
      <c r="E338" s="3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3"/>
      <c r="D339" s="3"/>
      <c r="E339" s="3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3"/>
      <c r="D340" s="3"/>
      <c r="E340" s="3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3"/>
      <c r="D341" s="3"/>
      <c r="E341" s="3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3"/>
      <c r="D342" s="3"/>
      <c r="E342" s="3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3"/>
      <c r="D343" s="3"/>
      <c r="E343" s="3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3"/>
      <c r="D344" s="3"/>
      <c r="E344" s="3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3"/>
      <c r="D345" s="3"/>
      <c r="E345" s="3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3"/>
      <c r="D346" s="3"/>
      <c r="E346" s="3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3"/>
      <c r="D347" s="3"/>
      <c r="E347" s="3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3"/>
      <c r="D348" s="3"/>
      <c r="E348" s="3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3"/>
      <c r="D349" s="3"/>
      <c r="E349" s="3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3"/>
      <c r="D350" s="3"/>
      <c r="E350" s="3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3"/>
      <c r="D351" s="3"/>
      <c r="E351" s="3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3"/>
      <c r="D352" s="3"/>
      <c r="E352" s="3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3"/>
      <c r="D353" s="3"/>
      <c r="E353" s="3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3"/>
      <c r="D354" s="3"/>
      <c r="E354" s="3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3"/>
      <c r="D355" s="3"/>
      <c r="E355" s="3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3"/>
      <c r="D356" s="3"/>
      <c r="E356" s="3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3"/>
      <c r="D357" s="3"/>
      <c r="E357" s="3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3"/>
      <c r="D358" s="3"/>
      <c r="E358" s="3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3"/>
      <c r="D359" s="3"/>
      <c r="E359" s="3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3"/>
      <c r="D360" s="3"/>
      <c r="E360" s="3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3"/>
      <c r="D361" s="3"/>
      <c r="E361" s="3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3"/>
      <c r="D362" s="3"/>
      <c r="E362" s="3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3"/>
      <c r="D363" s="3"/>
      <c r="E363" s="3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3"/>
      <c r="D364" s="3"/>
      <c r="E364" s="3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3"/>
      <c r="D365" s="3"/>
      <c r="E365" s="3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3"/>
      <c r="D366" s="3"/>
      <c r="E366" s="3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3"/>
      <c r="D367" s="3"/>
      <c r="E367" s="3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3"/>
      <c r="D368" s="3"/>
      <c r="E368" s="3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3"/>
      <c r="D369" s="3"/>
      <c r="E369" s="3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3"/>
      <c r="D370" s="3"/>
      <c r="E370" s="3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3"/>
      <c r="D371" s="3"/>
      <c r="E371" s="3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3"/>
      <c r="D372" s="3"/>
      <c r="E372" s="3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3"/>
      <c r="D373" s="3"/>
      <c r="E373" s="3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3"/>
      <c r="D374" s="3"/>
      <c r="E374" s="3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3"/>
      <c r="D375" s="3"/>
      <c r="E375" s="3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3"/>
      <c r="D376" s="3"/>
      <c r="E376" s="3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3"/>
      <c r="D377" s="3"/>
      <c r="E377" s="3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3"/>
      <c r="D378" s="3"/>
      <c r="E378" s="3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3"/>
      <c r="D379" s="3"/>
      <c r="E379" s="3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3"/>
      <c r="D380" s="3"/>
      <c r="E380" s="3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3"/>
      <c r="D381" s="3"/>
      <c r="E381" s="3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3"/>
      <c r="D382" s="3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3"/>
      <c r="D383" s="3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3"/>
      <c r="D384" s="3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3"/>
      <c r="D385" s="3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3"/>
      <c r="D386" s="3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3"/>
      <c r="D387" s="3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3"/>
      <c r="D388" s="3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3"/>
      <c r="D389" s="3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3"/>
      <c r="D390" s="3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3"/>
      <c r="D391" s="3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3"/>
      <c r="D392" s="3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3"/>
      <c r="D393" s="3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3"/>
      <c r="D394" s="3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3"/>
      <c r="D395" s="3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3"/>
      <c r="D396" s="3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3"/>
      <c r="D397" s="3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3"/>
      <c r="D398" s="3"/>
      <c r="E398" s="3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3"/>
      <c r="D399" s="3"/>
      <c r="E399" s="3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3"/>
      <c r="D400" s="3"/>
      <c r="E400" s="3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3"/>
      <c r="D401" s="3"/>
      <c r="E401" s="3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3"/>
      <c r="D402" s="3"/>
      <c r="E402" s="3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3"/>
      <c r="D403" s="3"/>
      <c r="E403" s="3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3"/>
      <c r="D404" s="3"/>
      <c r="E404" s="3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3"/>
      <c r="D405" s="3"/>
      <c r="E405" s="3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3"/>
      <c r="D406" s="3"/>
      <c r="E406" s="3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3"/>
      <c r="D407" s="3"/>
      <c r="E407" s="3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3"/>
      <c r="D408" s="3"/>
      <c r="E408" s="3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3"/>
      <c r="D409" s="3"/>
      <c r="E409" s="3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3"/>
      <c r="D410" s="3"/>
      <c r="E410" s="3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3"/>
      <c r="D411" s="3"/>
      <c r="E411" s="3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3"/>
      <c r="D412" s="3"/>
      <c r="E412" s="3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3"/>
      <c r="D413" s="3"/>
      <c r="E413" s="3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3"/>
      <c r="D414" s="3"/>
      <c r="E414" s="3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3"/>
      <c r="D415" s="3"/>
      <c r="E415" s="3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3"/>
      <c r="D416" s="3"/>
      <c r="E416" s="3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3"/>
      <c r="D417" s="3"/>
      <c r="E417" s="3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3"/>
      <c r="D418" s="3"/>
      <c r="E418" s="3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3"/>
      <c r="D419" s="3"/>
      <c r="E419" s="3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3"/>
      <c r="D420" s="3"/>
      <c r="E420" s="3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3"/>
      <c r="D421" s="3"/>
      <c r="E421" s="3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3"/>
      <c r="D422" s="3"/>
      <c r="E422" s="3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3"/>
      <c r="D423" s="3"/>
      <c r="E423" s="3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3"/>
      <c r="D424" s="3"/>
      <c r="E424" s="3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3"/>
      <c r="D425" s="3"/>
      <c r="E425" s="3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3"/>
      <c r="D426" s="3"/>
      <c r="E426" s="3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3"/>
      <c r="D427" s="3"/>
      <c r="E427" s="3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3"/>
      <c r="D428" s="3"/>
      <c r="E428" s="3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3"/>
      <c r="D429" s="3"/>
      <c r="E429" s="3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3"/>
      <c r="D430" s="3"/>
      <c r="E430" s="3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3"/>
      <c r="D431" s="3"/>
      <c r="E431" s="3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3"/>
      <c r="D432" s="3"/>
      <c r="E432" s="3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3"/>
      <c r="D433" s="3"/>
      <c r="E433" s="3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3"/>
      <c r="D434" s="3"/>
      <c r="E434" s="3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3"/>
      <c r="D435" s="3"/>
      <c r="E435" s="3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3"/>
      <c r="D436" s="3"/>
      <c r="E436" s="3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3"/>
      <c r="D437" s="3"/>
      <c r="E437" s="3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3"/>
      <c r="D438" s="3"/>
      <c r="E438" s="3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3"/>
      <c r="D439" s="3"/>
      <c r="E439" s="3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3"/>
      <c r="D440" s="3"/>
      <c r="E440" s="3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3"/>
      <c r="D441" s="3"/>
      <c r="E441" s="3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3"/>
      <c r="D442" s="3"/>
      <c r="E442" s="3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3"/>
      <c r="D443" s="3"/>
      <c r="E443" s="3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3"/>
      <c r="D444" s="3"/>
      <c r="E444" s="3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3"/>
      <c r="D445" s="3"/>
      <c r="E445" s="3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3"/>
      <c r="D446" s="3"/>
      <c r="E446" s="3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3"/>
      <c r="D447" s="3"/>
      <c r="E447" s="3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3"/>
      <c r="D448" s="3"/>
      <c r="E448" s="3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3"/>
      <c r="D449" s="3"/>
      <c r="E449" s="3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3"/>
      <c r="D450" s="3"/>
      <c r="E450" s="3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3"/>
      <c r="D451" s="3"/>
      <c r="E451" s="3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3"/>
      <c r="D452" s="3"/>
      <c r="E452" s="3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3"/>
      <c r="D453" s="3"/>
      <c r="E453" s="3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3"/>
      <c r="D454" s="3"/>
      <c r="E454" s="3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3"/>
      <c r="D455" s="3"/>
      <c r="E455" s="3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3"/>
      <c r="D456" s="3"/>
      <c r="E456" s="3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3"/>
      <c r="D457" s="3"/>
      <c r="E457" s="3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3"/>
      <c r="D458" s="3"/>
      <c r="E458" s="3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3"/>
      <c r="D459" s="3"/>
      <c r="E459" s="3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3"/>
      <c r="D460" s="3"/>
      <c r="E460" s="3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3"/>
      <c r="D461" s="3"/>
      <c r="E461" s="3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3"/>
      <c r="D462" s="3"/>
      <c r="E462" s="3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3"/>
      <c r="D463" s="3"/>
      <c r="E463" s="3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3"/>
      <c r="D464" s="3"/>
      <c r="E464" s="3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3"/>
      <c r="D465" s="3"/>
      <c r="E465" s="3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3"/>
      <c r="D466" s="3"/>
      <c r="E466" s="3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3"/>
      <c r="D467" s="3"/>
      <c r="E467" s="3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3"/>
      <c r="D468" s="3"/>
      <c r="E468" s="3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3"/>
      <c r="D469" s="3"/>
      <c r="E469" s="3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3"/>
      <c r="D470" s="3"/>
      <c r="E470" s="3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3"/>
      <c r="D471" s="3"/>
      <c r="E471" s="3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3"/>
      <c r="D472" s="3"/>
      <c r="E472" s="3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3"/>
      <c r="D473" s="3"/>
      <c r="E473" s="3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3"/>
      <c r="D474" s="3"/>
      <c r="E474" s="3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3"/>
      <c r="D475" s="3"/>
      <c r="E475" s="3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3"/>
      <c r="D476" s="3"/>
      <c r="E476" s="3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3"/>
      <c r="D477" s="3"/>
      <c r="E477" s="3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3"/>
      <c r="D478" s="3"/>
      <c r="E478" s="3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3"/>
      <c r="D479" s="3"/>
      <c r="E479" s="3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3"/>
      <c r="D480" s="3"/>
      <c r="E480" s="3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3"/>
      <c r="D481" s="3"/>
      <c r="E481" s="3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3"/>
      <c r="D482" s="3"/>
      <c r="E482" s="3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3"/>
      <c r="D483" s="3"/>
      <c r="E483" s="3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3"/>
      <c r="D484" s="3"/>
      <c r="E484" s="3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3"/>
      <c r="D485" s="3"/>
      <c r="E485" s="3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3"/>
      <c r="D486" s="3"/>
      <c r="E486" s="3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3"/>
      <c r="D487" s="3"/>
      <c r="E487" s="3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3"/>
      <c r="D488" s="3"/>
      <c r="E488" s="3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3"/>
      <c r="D489" s="3"/>
      <c r="E489" s="3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3"/>
      <c r="D490" s="3"/>
      <c r="E490" s="3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3"/>
      <c r="D491" s="3"/>
      <c r="E491" s="3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3"/>
      <c r="D492" s="3"/>
      <c r="E492" s="3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3"/>
      <c r="D493" s="3"/>
      <c r="E493" s="3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3"/>
      <c r="D494" s="3"/>
      <c r="E494" s="3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3"/>
      <c r="D495" s="3"/>
      <c r="E495" s="3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3"/>
      <c r="D496" s="3"/>
      <c r="E496" s="3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3"/>
      <c r="D497" s="3"/>
      <c r="E497" s="3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3"/>
      <c r="D498" s="3"/>
      <c r="E498" s="3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3"/>
      <c r="D499" s="3"/>
      <c r="E499" s="3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3"/>
      <c r="D500" s="3"/>
      <c r="E500" s="3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3"/>
      <c r="D501" s="3"/>
      <c r="E501" s="3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3"/>
      <c r="D502" s="3"/>
      <c r="E502" s="3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3"/>
      <c r="D503" s="3"/>
      <c r="E503" s="3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3"/>
      <c r="D504" s="3"/>
      <c r="E504" s="3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3"/>
      <c r="D505" s="3"/>
      <c r="E505" s="3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3"/>
      <c r="D506" s="3"/>
      <c r="E506" s="3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3"/>
      <c r="D507" s="3"/>
      <c r="E507" s="3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3"/>
      <c r="D508" s="3"/>
      <c r="E508" s="3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3"/>
      <c r="D509" s="3"/>
      <c r="E509" s="3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3"/>
      <c r="D510" s="3"/>
      <c r="E510" s="3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3"/>
      <c r="D511" s="3"/>
      <c r="E511" s="3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3"/>
      <c r="D512" s="3"/>
      <c r="E512" s="3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3"/>
      <c r="D513" s="3"/>
      <c r="E513" s="3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3"/>
      <c r="D514" s="3"/>
      <c r="E514" s="3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3"/>
      <c r="D515" s="3"/>
      <c r="E515" s="3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3"/>
      <c r="D516" s="3"/>
      <c r="E516" s="3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3"/>
      <c r="D517" s="3"/>
      <c r="E517" s="3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3"/>
      <c r="D518" s="3"/>
      <c r="E518" s="3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3"/>
      <c r="D519" s="3"/>
      <c r="E519" s="3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3"/>
      <c r="D520" s="3"/>
      <c r="E520" s="3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3"/>
      <c r="D521" s="3"/>
      <c r="E521" s="3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3"/>
      <c r="D522" s="3"/>
      <c r="E522" s="3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3"/>
      <c r="D523" s="3"/>
      <c r="E523" s="3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3"/>
      <c r="D524" s="3"/>
      <c r="E524" s="3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3"/>
      <c r="D525" s="3"/>
      <c r="E525" s="3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3"/>
      <c r="D526" s="3"/>
      <c r="E526" s="3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3"/>
      <c r="D527" s="3"/>
      <c r="E527" s="3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3"/>
      <c r="D528" s="3"/>
      <c r="E528" s="3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3"/>
      <c r="D529" s="3"/>
      <c r="E529" s="3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3"/>
      <c r="D530" s="3"/>
      <c r="E530" s="3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3"/>
      <c r="D531" s="3"/>
      <c r="E531" s="3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3"/>
      <c r="D532" s="3"/>
      <c r="E532" s="3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3"/>
      <c r="D533" s="3"/>
      <c r="E533" s="3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3"/>
      <c r="D534" s="3"/>
      <c r="E534" s="3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3"/>
      <c r="D535" s="3"/>
      <c r="E535" s="3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3"/>
      <c r="D536" s="3"/>
      <c r="E536" s="3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3"/>
      <c r="D537" s="3"/>
      <c r="E537" s="3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3"/>
      <c r="D538" s="3"/>
      <c r="E538" s="3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3"/>
      <c r="D539" s="3"/>
      <c r="E539" s="3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3"/>
      <c r="D540" s="3"/>
      <c r="E540" s="3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3"/>
      <c r="D541" s="3"/>
      <c r="E541" s="3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3"/>
      <c r="D542" s="3"/>
      <c r="E542" s="3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3"/>
      <c r="D543" s="3"/>
      <c r="E543" s="3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3"/>
      <c r="D544" s="3"/>
      <c r="E544" s="3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3"/>
      <c r="D545" s="3"/>
      <c r="E545" s="3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3"/>
      <c r="D546" s="3"/>
      <c r="E546" s="3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3"/>
      <c r="D547" s="3"/>
      <c r="E547" s="3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3"/>
      <c r="D548" s="3"/>
      <c r="E548" s="3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3"/>
      <c r="D549" s="3"/>
      <c r="E549" s="3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3"/>
      <c r="D550" s="3"/>
      <c r="E550" s="3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3"/>
      <c r="D551" s="3"/>
      <c r="E551" s="3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3"/>
      <c r="D552" s="3"/>
      <c r="E552" s="3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3"/>
      <c r="D553" s="3"/>
      <c r="E553" s="3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3"/>
      <c r="D554" s="3"/>
      <c r="E554" s="3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3"/>
      <c r="D555" s="3"/>
      <c r="E555" s="3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3"/>
      <c r="D556" s="3"/>
      <c r="E556" s="3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3"/>
      <c r="D557" s="3"/>
      <c r="E557" s="3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3"/>
      <c r="D558" s="3"/>
      <c r="E558" s="3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3"/>
      <c r="D559" s="3"/>
      <c r="E559" s="3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3"/>
      <c r="D560" s="3"/>
      <c r="E560" s="3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3"/>
      <c r="D561" s="3"/>
      <c r="E561" s="3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3"/>
      <c r="D562" s="3"/>
      <c r="E562" s="3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3"/>
      <c r="D563" s="3"/>
      <c r="E563" s="3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3"/>
      <c r="D564" s="3"/>
      <c r="E564" s="3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3"/>
      <c r="D565" s="3"/>
      <c r="E565" s="3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3"/>
      <c r="D566" s="3"/>
      <c r="E566" s="3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3"/>
      <c r="D567" s="3"/>
      <c r="E567" s="3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3"/>
      <c r="D568" s="3"/>
      <c r="E568" s="3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3"/>
      <c r="D569" s="3"/>
      <c r="E569" s="3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3"/>
      <c r="D570" s="3"/>
      <c r="E570" s="3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3"/>
      <c r="D571" s="3"/>
      <c r="E571" s="3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3"/>
      <c r="D572" s="3"/>
      <c r="E572" s="3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3"/>
      <c r="D573" s="3"/>
      <c r="E573" s="3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3"/>
      <c r="D574" s="3"/>
      <c r="E574" s="3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3"/>
      <c r="D575" s="3"/>
      <c r="E575" s="3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3"/>
      <c r="D576" s="3"/>
      <c r="E576" s="3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3"/>
      <c r="D577" s="3"/>
      <c r="E577" s="3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3"/>
      <c r="D578" s="3"/>
      <c r="E578" s="3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3"/>
      <c r="D579" s="3"/>
      <c r="E579" s="3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3"/>
      <c r="D580" s="3"/>
      <c r="E580" s="3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3"/>
      <c r="D581" s="3"/>
      <c r="E581" s="3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3"/>
      <c r="D582" s="3"/>
      <c r="E582" s="3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3"/>
      <c r="D583" s="3"/>
      <c r="E583" s="3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3"/>
      <c r="D584" s="3"/>
      <c r="E584" s="3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3"/>
      <c r="D585" s="3"/>
      <c r="E585" s="3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3"/>
      <c r="D586" s="3"/>
      <c r="E586" s="3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3"/>
      <c r="D587" s="3"/>
      <c r="E587" s="3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3"/>
      <c r="D588" s="3"/>
      <c r="E588" s="3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3"/>
      <c r="D589" s="3"/>
      <c r="E589" s="3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3"/>
      <c r="D590" s="3"/>
      <c r="E590" s="3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3"/>
      <c r="D591" s="3"/>
      <c r="E591" s="3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3"/>
      <c r="D592" s="3"/>
      <c r="E592" s="3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3"/>
      <c r="D593" s="3"/>
      <c r="E593" s="3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3"/>
      <c r="D594" s="3"/>
      <c r="E594" s="3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3"/>
      <c r="D595" s="3"/>
      <c r="E595" s="3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3"/>
      <c r="D596" s="3"/>
      <c r="E596" s="3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3"/>
      <c r="D597" s="3"/>
      <c r="E597" s="3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3"/>
      <c r="D598" s="3"/>
      <c r="E598" s="3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3"/>
      <c r="D599" s="3"/>
      <c r="E599" s="3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3"/>
      <c r="D600" s="3"/>
      <c r="E600" s="3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3"/>
      <c r="D601" s="3"/>
      <c r="E601" s="3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3"/>
      <c r="D602" s="3"/>
      <c r="E602" s="3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3"/>
      <c r="D603" s="3"/>
      <c r="E603" s="3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3"/>
      <c r="D604" s="3"/>
      <c r="E604" s="3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3"/>
      <c r="D605" s="3"/>
      <c r="E605" s="3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3"/>
      <c r="D606" s="3"/>
      <c r="E606" s="3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3"/>
      <c r="D607" s="3"/>
      <c r="E607" s="3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3"/>
      <c r="D608" s="3"/>
      <c r="E608" s="3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3"/>
      <c r="D609" s="3"/>
      <c r="E609" s="3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3"/>
      <c r="D610" s="3"/>
      <c r="E610" s="3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3"/>
      <c r="D611" s="3"/>
      <c r="E611" s="3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3"/>
      <c r="D612" s="3"/>
      <c r="E612" s="3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3"/>
      <c r="D613" s="3"/>
      <c r="E613" s="3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3"/>
      <c r="D614" s="3"/>
      <c r="E614" s="3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3"/>
      <c r="D615" s="3"/>
      <c r="E615" s="3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3"/>
      <c r="D616" s="3"/>
      <c r="E616" s="3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3"/>
      <c r="D617" s="3"/>
      <c r="E617" s="3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3"/>
      <c r="D618" s="3"/>
      <c r="E618" s="3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3"/>
      <c r="D619" s="3"/>
      <c r="E619" s="3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3"/>
      <c r="D620" s="3"/>
      <c r="E620" s="3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3"/>
      <c r="D621" s="3"/>
      <c r="E621" s="3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3"/>
      <c r="D622" s="3"/>
      <c r="E622" s="3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3"/>
      <c r="D623" s="3"/>
      <c r="E623" s="3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3"/>
      <c r="D624" s="3"/>
      <c r="E624" s="3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3"/>
      <c r="D625" s="3"/>
      <c r="E625" s="3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3"/>
      <c r="D626" s="3"/>
      <c r="E626" s="3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3"/>
      <c r="D627" s="3"/>
      <c r="E627" s="3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3"/>
      <c r="D628" s="3"/>
      <c r="E628" s="3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3"/>
      <c r="D629" s="3"/>
      <c r="E629" s="3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3"/>
      <c r="D630" s="3"/>
      <c r="E630" s="3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3"/>
      <c r="D631" s="3"/>
      <c r="E631" s="3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3"/>
      <c r="D632" s="3"/>
      <c r="E632" s="3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3"/>
      <c r="D633" s="3"/>
      <c r="E633" s="3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3"/>
      <c r="D634" s="3"/>
      <c r="E634" s="3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3"/>
      <c r="D635" s="3"/>
      <c r="E635" s="3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3"/>
      <c r="D636" s="3"/>
      <c r="E636" s="3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3"/>
      <c r="D637" s="3"/>
      <c r="E637" s="3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3"/>
      <c r="D638" s="3"/>
      <c r="E638" s="3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3"/>
      <c r="D639" s="3"/>
      <c r="E639" s="3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3"/>
      <c r="D640" s="3"/>
      <c r="E640" s="3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3"/>
      <c r="D641" s="3"/>
      <c r="E641" s="3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3"/>
      <c r="D642" s="3"/>
      <c r="E642" s="3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3"/>
      <c r="D643" s="3"/>
      <c r="E643" s="3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3"/>
      <c r="D644" s="3"/>
      <c r="E644" s="3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3"/>
      <c r="D645" s="3"/>
      <c r="E645" s="3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3"/>
      <c r="D646" s="3"/>
      <c r="E646" s="3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3"/>
      <c r="D647" s="3"/>
      <c r="E647" s="3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3"/>
      <c r="D648" s="3"/>
      <c r="E648" s="3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3"/>
      <c r="D649" s="3"/>
      <c r="E649" s="3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3"/>
      <c r="D650" s="3"/>
      <c r="E650" s="3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3"/>
      <c r="D651" s="3"/>
      <c r="E651" s="3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3"/>
      <c r="D652" s="3"/>
      <c r="E652" s="3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3"/>
      <c r="D653" s="3"/>
      <c r="E653" s="3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3"/>
      <c r="D654" s="3"/>
      <c r="E654" s="3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3"/>
      <c r="D655" s="3"/>
      <c r="E655" s="3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3"/>
      <c r="D656" s="3"/>
      <c r="E656" s="3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3"/>
      <c r="D657" s="3"/>
      <c r="E657" s="3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3"/>
      <c r="D658" s="3"/>
      <c r="E658" s="3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3"/>
      <c r="D659" s="3"/>
      <c r="E659" s="3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3"/>
      <c r="D660" s="3"/>
      <c r="E660" s="3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3"/>
      <c r="D661" s="3"/>
      <c r="E661" s="3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3"/>
      <c r="D662" s="3"/>
      <c r="E662" s="3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3"/>
      <c r="D663" s="3"/>
      <c r="E663" s="3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3"/>
      <c r="D664" s="3"/>
      <c r="E664" s="3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3"/>
      <c r="D665" s="3"/>
      <c r="E665" s="3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3"/>
      <c r="D666" s="3"/>
      <c r="E666" s="3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3"/>
      <c r="D667" s="3"/>
      <c r="E667" s="3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3"/>
      <c r="D668" s="3"/>
      <c r="E668" s="3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3"/>
      <c r="D669" s="3"/>
      <c r="E669" s="3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3"/>
      <c r="D670" s="3"/>
      <c r="E670" s="3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3"/>
      <c r="D671" s="3"/>
      <c r="E671" s="3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3"/>
      <c r="D672" s="3"/>
      <c r="E672" s="3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3"/>
      <c r="D673" s="3"/>
      <c r="E673" s="3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3"/>
      <c r="D674" s="3"/>
      <c r="E674" s="3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3"/>
      <c r="D675" s="3"/>
      <c r="E675" s="3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3"/>
      <c r="D676" s="3"/>
      <c r="E676" s="3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3"/>
      <c r="D677" s="3"/>
      <c r="E677" s="3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3"/>
      <c r="D678" s="3"/>
      <c r="E678" s="3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3"/>
      <c r="D679" s="3"/>
      <c r="E679" s="3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3"/>
      <c r="D680" s="3"/>
      <c r="E680" s="3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3"/>
      <c r="D681" s="3"/>
      <c r="E681" s="3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3"/>
      <c r="D682" s="3"/>
      <c r="E682" s="3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3"/>
      <c r="D683" s="3"/>
      <c r="E683" s="3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3"/>
      <c r="D684" s="3"/>
      <c r="E684" s="3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3"/>
      <c r="D685" s="3"/>
      <c r="E685" s="3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3"/>
      <c r="D686" s="3"/>
      <c r="E686" s="3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3"/>
      <c r="D687" s="3"/>
      <c r="E687" s="3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3"/>
      <c r="D688" s="3"/>
      <c r="E688" s="3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3"/>
      <c r="D689" s="3"/>
      <c r="E689" s="3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3"/>
      <c r="D690" s="3"/>
      <c r="E690" s="3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3"/>
      <c r="D691" s="3"/>
      <c r="E691" s="3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3"/>
      <c r="D692" s="3"/>
      <c r="E692" s="3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3"/>
      <c r="D693" s="3"/>
      <c r="E693" s="3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3"/>
      <c r="D694" s="3"/>
      <c r="E694" s="3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3"/>
      <c r="D695" s="3"/>
      <c r="E695" s="3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3"/>
      <c r="D696" s="3"/>
      <c r="E696" s="3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3"/>
      <c r="D697" s="3"/>
      <c r="E697" s="3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3"/>
      <c r="D698" s="3"/>
      <c r="E698" s="3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3"/>
      <c r="D699" s="3"/>
      <c r="E699" s="3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3"/>
      <c r="D700" s="3"/>
      <c r="E700" s="3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3"/>
      <c r="D701" s="3"/>
      <c r="E701" s="3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3"/>
      <c r="D702" s="3"/>
      <c r="E702" s="3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3"/>
      <c r="D703" s="3"/>
      <c r="E703" s="3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3"/>
      <c r="D704" s="3"/>
      <c r="E704" s="3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3"/>
      <c r="D705" s="3"/>
      <c r="E705" s="3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3"/>
      <c r="D706" s="3"/>
      <c r="E706" s="3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3"/>
      <c r="D707" s="3"/>
      <c r="E707" s="3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3"/>
      <c r="D708" s="3"/>
      <c r="E708" s="3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3"/>
      <c r="D709" s="3"/>
      <c r="E709" s="3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3"/>
      <c r="D710" s="3"/>
      <c r="E710" s="3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3"/>
      <c r="D711" s="3"/>
      <c r="E711" s="3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3"/>
      <c r="D712" s="3"/>
      <c r="E712" s="3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3"/>
      <c r="D713" s="3"/>
      <c r="E713" s="3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3"/>
      <c r="D714" s="3"/>
      <c r="E714" s="3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3"/>
      <c r="D715" s="3"/>
      <c r="E715" s="3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3"/>
      <c r="D716" s="3"/>
      <c r="E716" s="3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3"/>
      <c r="D717" s="3"/>
      <c r="E717" s="3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3"/>
      <c r="D718" s="3"/>
      <c r="E718" s="3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3"/>
      <c r="D719" s="3"/>
      <c r="E719" s="3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3"/>
      <c r="D720" s="3"/>
      <c r="E720" s="3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3"/>
      <c r="D721" s="3"/>
      <c r="E721" s="3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3"/>
      <c r="D722" s="3"/>
      <c r="E722" s="3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3"/>
      <c r="D723" s="3"/>
      <c r="E723" s="3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3"/>
      <c r="D724" s="3"/>
      <c r="E724" s="3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3"/>
      <c r="D725" s="3"/>
      <c r="E725" s="3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3"/>
      <c r="D726" s="3"/>
      <c r="E726" s="3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3"/>
      <c r="D727" s="3"/>
      <c r="E727" s="3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3"/>
      <c r="D728" s="3"/>
      <c r="E728" s="3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3"/>
      <c r="D729" s="3"/>
      <c r="E729" s="3"/>
      <c r="F729" s="3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3"/>
      <c r="D730" s="3"/>
      <c r="E730" s="3"/>
      <c r="F730" s="3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3"/>
      <c r="D731" s="3"/>
      <c r="E731" s="3"/>
      <c r="F731" s="3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3"/>
      <c r="D732" s="3"/>
      <c r="E732" s="3"/>
      <c r="F732" s="3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3"/>
      <c r="D733" s="3"/>
      <c r="E733" s="3"/>
      <c r="F733" s="3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3"/>
      <c r="D734" s="3"/>
      <c r="E734" s="3"/>
      <c r="F734" s="3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3"/>
      <c r="D735" s="3"/>
      <c r="E735" s="3"/>
      <c r="F735" s="3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3"/>
      <c r="D736" s="3"/>
      <c r="E736" s="3"/>
      <c r="F736" s="3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3"/>
      <c r="D737" s="3"/>
      <c r="E737" s="3"/>
      <c r="F737" s="3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3"/>
      <c r="D738" s="3"/>
      <c r="E738" s="3"/>
      <c r="F738" s="3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3"/>
      <c r="D739" s="3"/>
      <c r="E739" s="3"/>
      <c r="F739" s="3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3"/>
      <c r="D740" s="3"/>
      <c r="E740" s="3"/>
      <c r="F740" s="3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3"/>
      <c r="D741" s="3"/>
      <c r="E741" s="3"/>
      <c r="F741" s="3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3"/>
      <c r="D742" s="3"/>
      <c r="E742" s="3"/>
      <c r="F742" s="3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3"/>
      <c r="D743" s="3"/>
      <c r="E743" s="3"/>
      <c r="F743" s="3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3"/>
      <c r="D744" s="3"/>
      <c r="E744" s="3"/>
      <c r="F744" s="3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3"/>
      <c r="D745" s="3"/>
      <c r="E745" s="3"/>
      <c r="F745" s="3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3"/>
      <c r="D746" s="3"/>
      <c r="E746" s="3"/>
      <c r="F746" s="3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3"/>
      <c r="D747" s="3"/>
      <c r="E747" s="3"/>
      <c r="F747" s="3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3"/>
      <c r="D748" s="3"/>
      <c r="E748" s="3"/>
      <c r="F748" s="3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3"/>
      <c r="D749" s="3"/>
      <c r="E749" s="3"/>
      <c r="F749" s="3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3"/>
      <c r="D750" s="3"/>
      <c r="E750" s="3"/>
      <c r="F750" s="3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3"/>
      <c r="D751" s="3"/>
      <c r="E751" s="3"/>
      <c r="F751" s="3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3"/>
      <c r="D752" s="3"/>
      <c r="E752" s="3"/>
      <c r="F752" s="3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3"/>
      <c r="D753" s="3"/>
      <c r="E753" s="3"/>
      <c r="F753" s="3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3"/>
      <c r="D754" s="3"/>
      <c r="E754" s="3"/>
      <c r="F754" s="3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3"/>
      <c r="D755" s="3"/>
      <c r="E755" s="3"/>
      <c r="F755" s="3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3"/>
      <c r="D756" s="3"/>
      <c r="E756" s="3"/>
      <c r="F756" s="3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3"/>
      <c r="D757" s="3"/>
      <c r="E757" s="3"/>
      <c r="F757" s="3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3"/>
      <c r="D758" s="3"/>
      <c r="E758" s="3"/>
      <c r="F758" s="3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3"/>
      <c r="D759" s="3"/>
      <c r="E759" s="3"/>
      <c r="F759" s="3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3"/>
      <c r="D760" s="3"/>
      <c r="E760" s="3"/>
      <c r="F760" s="3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3"/>
      <c r="D761" s="3"/>
      <c r="E761" s="3"/>
      <c r="F761" s="3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3"/>
      <c r="D762" s="3"/>
      <c r="E762" s="3"/>
      <c r="F762" s="3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3"/>
      <c r="D763" s="3"/>
      <c r="E763" s="3"/>
      <c r="F763" s="3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3"/>
      <c r="D764" s="3"/>
      <c r="E764" s="3"/>
      <c r="F764" s="3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3"/>
      <c r="D765" s="3"/>
      <c r="E765" s="3"/>
      <c r="F765" s="3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3"/>
      <c r="D766" s="3"/>
      <c r="E766" s="3"/>
      <c r="F766" s="3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3"/>
      <c r="D767" s="3"/>
      <c r="E767" s="3"/>
      <c r="F767" s="3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3"/>
      <c r="D768" s="3"/>
      <c r="E768" s="3"/>
      <c r="F768" s="3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3"/>
      <c r="D769" s="3"/>
      <c r="E769" s="3"/>
      <c r="F769" s="3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3"/>
      <c r="D770" s="3"/>
      <c r="E770" s="3"/>
      <c r="F770" s="3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3"/>
      <c r="D771" s="3"/>
      <c r="E771" s="3"/>
      <c r="F771" s="3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3"/>
      <c r="D772" s="3"/>
      <c r="E772" s="3"/>
      <c r="F772" s="3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3"/>
      <c r="D773" s="3"/>
      <c r="E773" s="3"/>
      <c r="F773" s="3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3"/>
      <c r="D774" s="3"/>
      <c r="E774" s="3"/>
      <c r="F774" s="3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3"/>
      <c r="D775" s="3"/>
      <c r="E775" s="3"/>
      <c r="F775" s="3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3"/>
      <c r="D776" s="3"/>
      <c r="E776" s="3"/>
      <c r="F776" s="3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3"/>
      <c r="D777" s="3"/>
      <c r="E777" s="3"/>
      <c r="F777" s="3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3"/>
      <c r="D778" s="3"/>
      <c r="E778" s="3"/>
      <c r="F778" s="3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3"/>
      <c r="D779" s="3"/>
      <c r="E779" s="3"/>
      <c r="F779" s="3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3"/>
      <c r="D780" s="3"/>
      <c r="E780" s="3"/>
      <c r="F780" s="3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3"/>
      <c r="D781" s="3"/>
      <c r="E781" s="3"/>
      <c r="F781" s="3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3"/>
      <c r="D782" s="3"/>
      <c r="E782" s="3"/>
      <c r="F782" s="3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3"/>
      <c r="D783" s="3"/>
      <c r="E783" s="3"/>
      <c r="F783" s="3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3"/>
      <c r="D784" s="3"/>
      <c r="E784" s="3"/>
      <c r="F784" s="3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3"/>
      <c r="D785" s="3"/>
      <c r="E785" s="3"/>
      <c r="F785" s="3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3"/>
      <c r="D786" s="3"/>
      <c r="E786" s="3"/>
      <c r="F786" s="3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3"/>
      <c r="D787" s="3"/>
      <c r="E787" s="3"/>
      <c r="F787" s="3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3"/>
      <c r="D788" s="3"/>
      <c r="E788" s="3"/>
      <c r="F788" s="3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3"/>
      <c r="D789" s="3"/>
      <c r="E789" s="3"/>
      <c r="F789" s="3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3"/>
      <c r="D790" s="3"/>
      <c r="E790" s="3"/>
      <c r="F790" s="3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3"/>
      <c r="D791" s="3"/>
      <c r="E791" s="3"/>
      <c r="F791" s="3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3"/>
      <c r="D792" s="3"/>
      <c r="E792" s="3"/>
      <c r="F792" s="3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3"/>
      <c r="D793" s="3"/>
      <c r="E793" s="3"/>
      <c r="F793" s="3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3"/>
      <c r="D794" s="3"/>
      <c r="E794" s="3"/>
      <c r="F794" s="3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3"/>
      <c r="D795" s="3"/>
      <c r="E795" s="3"/>
      <c r="F795" s="3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3"/>
      <c r="D796" s="3"/>
      <c r="E796" s="3"/>
      <c r="F796" s="3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3"/>
      <c r="D797" s="3"/>
      <c r="E797" s="3"/>
      <c r="F797" s="3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3"/>
      <c r="D798" s="3"/>
      <c r="E798" s="3"/>
      <c r="F798" s="3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3"/>
      <c r="D799" s="3"/>
      <c r="E799" s="3"/>
      <c r="F799" s="3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3"/>
      <c r="D800" s="3"/>
      <c r="E800" s="3"/>
      <c r="F800" s="3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3"/>
      <c r="D801" s="3"/>
      <c r="E801" s="3"/>
      <c r="F801" s="3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3"/>
      <c r="D802" s="3"/>
      <c r="E802" s="3"/>
      <c r="F802" s="3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3"/>
      <c r="D803" s="3"/>
      <c r="E803" s="3"/>
      <c r="F803" s="3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3"/>
      <c r="D804" s="3"/>
      <c r="E804" s="3"/>
      <c r="F804" s="3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3"/>
      <c r="D805" s="3"/>
      <c r="E805" s="3"/>
      <c r="F805" s="3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3"/>
      <c r="D806" s="3"/>
      <c r="E806" s="3"/>
      <c r="F806" s="3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3"/>
      <c r="D807" s="3"/>
      <c r="E807" s="3"/>
      <c r="F807" s="3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3"/>
      <c r="D808" s="3"/>
      <c r="E808" s="3"/>
      <c r="F808" s="3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3"/>
      <c r="D809" s="3"/>
      <c r="E809" s="3"/>
      <c r="F809" s="3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3"/>
      <c r="D810" s="3"/>
      <c r="E810" s="3"/>
      <c r="F810" s="3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3"/>
      <c r="D811" s="3"/>
      <c r="E811" s="3"/>
      <c r="F811" s="3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3"/>
      <c r="D812" s="3"/>
      <c r="E812" s="3"/>
      <c r="F812" s="3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3"/>
      <c r="D813" s="3"/>
      <c r="E813" s="3"/>
      <c r="F813" s="3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3"/>
      <c r="D814" s="3"/>
      <c r="E814" s="3"/>
      <c r="F814" s="3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3"/>
      <c r="D815" s="3"/>
      <c r="E815" s="3"/>
      <c r="F815" s="3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3"/>
      <c r="D816" s="3"/>
      <c r="E816" s="3"/>
      <c r="F816" s="3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3"/>
      <c r="D817" s="3"/>
      <c r="E817" s="3"/>
      <c r="F817" s="3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3"/>
      <c r="D818" s="3"/>
      <c r="E818" s="3"/>
      <c r="F818" s="3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3"/>
      <c r="D819" s="3"/>
      <c r="E819" s="3"/>
      <c r="F819" s="3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3"/>
      <c r="D820" s="3"/>
      <c r="E820" s="3"/>
      <c r="F820" s="3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3"/>
      <c r="D821" s="3"/>
      <c r="E821" s="3"/>
      <c r="F821" s="3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3"/>
      <c r="D822" s="3"/>
      <c r="E822" s="3"/>
      <c r="F822" s="3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3"/>
      <c r="D823" s="3"/>
      <c r="E823" s="3"/>
      <c r="F823" s="3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3"/>
      <c r="D824" s="3"/>
      <c r="E824" s="3"/>
      <c r="F824" s="3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3"/>
      <c r="D825" s="3"/>
      <c r="E825" s="3"/>
      <c r="F825" s="3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3"/>
      <c r="D826" s="3"/>
      <c r="E826" s="3"/>
      <c r="F826" s="3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3"/>
      <c r="D827" s="3"/>
      <c r="E827" s="3"/>
      <c r="F827" s="3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3"/>
      <c r="D828" s="3"/>
      <c r="E828" s="3"/>
      <c r="F828" s="3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3"/>
      <c r="D829" s="3"/>
      <c r="E829" s="3"/>
      <c r="F829" s="3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3"/>
      <c r="D830" s="3"/>
      <c r="E830" s="3"/>
      <c r="F830" s="3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3"/>
      <c r="D831" s="3"/>
      <c r="E831" s="3"/>
      <c r="F831" s="3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3"/>
      <c r="D832" s="3"/>
      <c r="E832" s="3"/>
      <c r="F832" s="3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3"/>
      <c r="D833" s="3"/>
      <c r="E833" s="3"/>
      <c r="F833" s="3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3"/>
      <c r="D834" s="3"/>
      <c r="E834" s="3"/>
      <c r="F834" s="3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3"/>
      <c r="D835" s="3"/>
      <c r="E835" s="3"/>
      <c r="F835" s="3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3"/>
      <c r="D836" s="3"/>
      <c r="E836" s="3"/>
      <c r="F836" s="3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3"/>
      <c r="D837" s="3"/>
      <c r="E837" s="3"/>
      <c r="F837" s="3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3"/>
      <c r="D838" s="3"/>
      <c r="E838" s="3"/>
      <c r="F838" s="3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3"/>
      <c r="D839" s="3"/>
      <c r="E839" s="3"/>
      <c r="F839" s="3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3"/>
      <c r="D840" s="3"/>
      <c r="E840" s="3"/>
      <c r="F840" s="3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3"/>
      <c r="D841" s="3"/>
      <c r="E841" s="3"/>
      <c r="F841" s="3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3"/>
      <c r="D842" s="3"/>
      <c r="E842" s="3"/>
      <c r="F842" s="3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3"/>
      <c r="D843" s="3"/>
      <c r="E843" s="3"/>
      <c r="F843" s="3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3"/>
      <c r="D844" s="3"/>
      <c r="E844" s="3"/>
      <c r="F844" s="3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3"/>
      <c r="D845" s="3"/>
      <c r="E845" s="3"/>
      <c r="F845" s="3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3"/>
      <c r="D846" s="3"/>
      <c r="E846" s="3"/>
      <c r="F846" s="3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3"/>
      <c r="D847" s="3"/>
      <c r="E847" s="3"/>
      <c r="F847" s="3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3"/>
      <c r="D848" s="3"/>
      <c r="E848" s="3"/>
      <c r="F848" s="3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3"/>
      <c r="D849" s="3"/>
      <c r="E849" s="3"/>
      <c r="F849" s="3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3"/>
      <c r="D850" s="3"/>
      <c r="E850" s="3"/>
      <c r="F850" s="3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3"/>
      <c r="D851" s="3"/>
      <c r="E851" s="3"/>
      <c r="F851" s="3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3"/>
      <c r="D852" s="3"/>
      <c r="E852" s="3"/>
      <c r="F852" s="3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3"/>
      <c r="D853" s="3"/>
      <c r="E853" s="3"/>
      <c r="F853" s="3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3"/>
      <c r="D854" s="3"/>
      <c r="E854" s="3"/>
      <c r="F854" s="3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3"/>
      <c r="D855" s="3"/>
      <c r="E855" s="3"/>
      <c r="F855" s="3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3"/>
      <c r="D856" s="3"/>
      <c r="E856" s="3"/>
      <c r="F856" s="3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3"/>
      <c r="D857" s="3"/>
      <c r="E857" s="3"/>
      <c r="F857" s="3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3"/>
      <c r="D858" s="3"/>
      <c r="E858" s="3"/>
      <c r="F858" s="3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3"/>
      <c r="D859" s="3"/>
      <c r="E859" s="3"/>
      <c r="F859" s="3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3"/>
      <c r="D860" s="3"/>
      <c r="E860" s="3"/>
      <c r="F860" s="3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3"/>
      <c r="D861" s="3"/>
      <c r="E861" s="3"/>
      <c r="F861" s="3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3"/>
      <c r="D862" s="3"/>
      <c r="E862" s="3"/>
      <c r="F862" s="3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3"/>
      <c r="D863" s="3"/>
      <c r="E863" s="3"/>
      <c r="F863" s="3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3"/>
      <c r="D864" s="3"/>
      <c r="E864" s="3"/>
      <c r="F864" s="3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3"/>
      <c r="D865" s="3"/>
      <c r="E865" s="3"/>
      <c r="F865" s="3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3"/>
      <c r="D866" s="3"/>
      <c r="E866" s="3"/>
      <c r="F866" s="3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3"/>
      <c r="D867" s="3"/>
      <c r="E867" s="3"/>
      <c r="F867" s="3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3"/>
      <c r="D868" s="3"/>
      <c r="E868" s="3"/>
      <c r="F868" s="3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3"/>
      <c r="D869" s="3"/>
      <c r="E869" s="3"/>
      <c r="F869" s="3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3"/>
      <c r="D870" s="3"/>
      <c r="E870" s="3"/>
      <c r="F870" s="3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3"/>
      <c r="D871" s="3"/>
      <c r="E871" s="3"/>
      <c r="F871" s="3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3"/>
      <c r="D872" s="3"/>
      <c r="E872" s="3"/>
      <c r="F872" s="3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3"/>
      <c r="D873" s="3"/>
      <c r="E873" s="3"/>
      <c r="F873" s="3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3"/>
      <c r="D874" s="3"/>
      <c r="E874" s="3"/>
      <c r="F874" s="3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3"/>
      <c r="D875" s="3"/>
      <c r="E875" s="3"/>
      <c r="F875" s="3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3"/>
      <c r="D876" s="3"/>
      <c r="E876" s="3"/>
      <c r="F876" s="3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3"/>
      <c r="D877" s="3"/>
      <c r="E877" s="3"/>
      <c r="F877" s="3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3"/>
      <c r="D878" s="3"/>
      <c r="E878" s="3"/>
      <c r="F878" s="3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3"/>
      <c r="D879" s="3"/>
      <c r="E879" s="3"/>
      <c r="F879" s="3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3"/>
      <c r="D880" s="3"/>
      <c r="E880" s="3"/>
      <c r="F880" s="3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3"/>
      <c r="D881" s="3"/>
      <c r="E881" s="3"/>
      <c r="F881" s="3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3"/>
      <c r="D882" s="3"/>
      <c r="E882" s="3"/>
      <c r="F882" s="3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3"/>
      <c r="D883" s="3"/>
      <c r="E883" s="3"/>
      <c r="F883" s="3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3"/>
      <c r="D884" s="3"/>
      <c r="E884" s="3"/>
      <c r="F884" s="3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3"/>
      <c r="D885" s="3"/>
      <c r="E885" s="3"/>
      <c r="F885" s="3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3"/>
      <c r="D886" s="3"/>
      <c r="E886" s="3"/>
      <c r="F886" s="3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3"/>
      <c r="D887" s="3"/>
      <c r="E887" s="3"/>
      <c r="F887" s="3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3"/>
      <c r="D888" s="3"/>
      <c r="E888" s="3"/>
      <c r="F888" s="3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3"/>
      <c r="D889" s="3"/>
      <c r="E889" s="3"/>
      <c r="F889" s="3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3"/>
      <c r="D890" s="3"/>
      <c r="E890" s="3"/>
      <c r="F890" s="3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3"/>
      <c r="D891" s="3"/>
      <c r="E891" s="3"/>
      <c r="F891" s="3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3"/>
      <c r="D892" s="3"/>
      <c r="E892" s="3"/>
      <c r="F892" s="3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3"/>
      <c r="D893" s="3"/>
      <c r="E893" s="3"/>
      <c r="F893" s="3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3"/>
      <c r="D894" s="3"/>
      <c r="E894" s="3"/>
      <c r="F894" s="3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3"/>
      <c r="D895" s="3"/>
      <c r="E895" s="3"/>
      <c r="F895" s="3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3"/>
      <c r="D896" s="3"/>
      <c r="E896" s="3"/>
      <c r="F896" s="3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3"/>
      <c r="D897" s="3"/>
      <c r="E897" s="3"/>
      <c r="F897" s="3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3"/>
      <c r="D898" s="3"/>
      <c r="E898" s="3"/>
      <c r="F898" s="3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3"/>
      <c r="D899" s="3"/>
      <c r="E899" s="3"/>
      <c r="F899" s="3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3"/>
      <c r="D900" s="3"/>
      <c r="E900" s="3"/>
      <c r="F900" s="3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3"/>
      <c r="D901" s="3"/>
      <c r="E901" s="3"/>
      <c r="F901" s="3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3"/>
      <c r="D902" s="3"/>
      <c r="E902" s="3"/>
      <c r="F902" s="3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3"/>
      <c r="D903" s="3"/>
      <c r="E903" s="3"/>
      <c r="F903" s="3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3"/>
      <c r="D904" s="3"/>
      <c r="E904" s="3"/>
      <c r="F904" s="3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3"/>
      <c r="D905" s="3"/>
      <c r="E905" s="3"/>
      <c r="F905" s="3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3"/>
      <c r="D906" s="3"/>
      <c r="E906" s="3"/>
      <c r="F906" s="3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3"/>
      <c r="D907" s="3"/>
      <c r="E907" s="3"/>
      <c r="F907" s="3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3"/>
      <c r="D908" s="3"/>
      <c r="E908" s="3"/>
      <c r="F908" s="3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3"/>
      <c r="D909" s="3"/>
      <c r="E909" s="3"/>
      <c r="F909" s="3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3"/>
      <c r="D910" s="3"/>
      <c r="E910" s="3"/>
      <c r="F910" s="3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3"/>
      <c r="D911" s="3"/>
      <c r="E911" s="3"/>
      <c r="F911" s="3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"/>
      <c r="C912" s="3"/>
      <c r="D912" s="3"/>
      <c r="E912" s="3"/>
      <c r="F912" s="3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"/>
      <c r="C913" s="3"/>
      <c r="D913" s="3"/>
      <c r="E913" s="3"/>
      <c r="F913" s="3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"/>
      <c r="C914" s="3"/>
      <c r="D914" s="3"/>
      <c r="E914" s="3"/>
      <c r="F914" s="3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"/>
      <c r="C915" s="3"/>
      <c r="D915" s="3"/>
      <c r="E915" s="3"/>
      <c r="F915" s="3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"/>
      <c r="C916" s="3"/>
      <c r="D916" s="3"/>
      <c r="E916" s="3"/>
      <c r="F916" s="3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"/>
      <c r="C917" s="3"/>
      <c r="D917" s="3"/>
      <c r="E917" s="3"/>
      <c r="F917" s="3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"/>
      <c r="C918" s="3"/>
      <c r="D918" s="3"/>
      <c r="E918" s="3"/>
      <c r="F918" s="3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"/>
      <c r="C919" s="3"/>
      <c r="D919" s="3"/>
      <c r="E919" s="3"/>
      <c r="F919" s="3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"/>
      <c r="C920" s="3"/>
      <c r="D920" s="3"/>
      <c r="E920" s="3"/>
      <c r="F920" s="3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"/>
      <c r="C921" s="3"/>
      <c r="D921" s="3"/>
      <c r="E921" s="3"/>
      <c r="F921" s="3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"/>
      <c r="C922" s="3"/>
      <c r="D922" s="3"/>
      <c r="E922" s="3"/>
      <c r="F922" s="3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"/>
      <c r="C923" s="3"/>
      <c r="D923" s="3"/>
      <c r="E923" s="3"/>
      <c r="F923" s="3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"/>
      <c r="C924" s="3"/>
      <c r="D924" s="3"/>
      <c r="E924" s="3"/>
      <c r="F924" s="3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"/>
      <c r="C925" s="3"/>
      <c r="D925" s="3"/>
      <c r="E925" s="3"/>
      <c r="F925" s="3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"/>
      <c r="C926" s="3"/>
      <c r="D926" s="3"/>
      <c r="E926" s="3"/>
      <c r="F926" s="3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"/>
      <c r="C927" s="3"/>
      <c r="D927" s="3"/>
      <c r="E927" s="3"/>
      <c r="F927" s="3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"/>
      <c r="C928" s="3"/>
      <c r="D928" s="3"/>
      <c r="E928" s="3"/>
      <c r="F928" s="3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"/>
      <c r="C929" s="3"/>
      <c r="D929" s="3"/>
      <c r="E929" s="3"/>
      <c r="F929" s="3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"/>
      <c r="C930" s="3"/>
      <c r="D930" s="3"/>
      <c r="E930" s="3"/>
      <c r="F930" s="3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"/>
      <c r="C931" s="3"/>
      <c r="D931" s="3"/>
      <c r="E931" s="3"/>
      <c r="F931" s="3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"/>
      <c r="C932" s="3"/>
      <c r="D932" s="3"/>
      <c r="E932" s="3"/>
      <c r="F932" s="3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"/>
      <c r="C933" s="3"/>
      <c r="D933" s="3"/>
      <c r="E933" s="3"/>
      <c r="F933" s="3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"/>
      <c r="C934" s="3"/>
      <c r="D934" s="3"/>
      <c r="E934" s="3"/>
      <c r="F934" s="3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"/>
      <c r="C935" s="3"/>
      <c r="D935" s="3"/>
      <c r="E935" s="3"/>
      <c r="F935" s="3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"/>
      <c r="C936" s="3"/>
      <c r="D936" s="3"/>
      <c r="E936" s="3"/>
      <c r="F936" s="3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"/>
      <c r="C937" s="3"/>
      <c r="D937" s="3"/>
      <c r="E937" s="3"/>
      <c r="F937" s="3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"/>
      <c r="C938" s="3"/>
      <c r="D938" s="3"/>
      <c r="E938" s="3"/>
      <c r="F938" s="3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"/>
      <c r="C939" s="3"/>
      <c r="D939" s="3"/>
      <c r="E939" s="3"/>
      <c r="F939" s="3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"/>
      <c r="C940" s="3"/>
      <c r="D940" s="3"/>
      <c r="E940" s="3"/>
      <c r="F940" s="3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"/>
      <c r="C941" s="3"/>
      <c r="D941" s="3"/>
      <c r="E941" s="3"/>
      <c r="F941" s="3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"/>
      <c r="C942" s="3"/>
      <c r="D942" s="3"/>
      <c r="E942" s="3"/>
      <c r="F942" s="3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"/>
      <c r="C943" s="3"/>
      <c r="D943" s="3"/>
      <c r="E943" s="3"/>
      <c r="F943" s="3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"/>
      <c r="C944" s="3"/>
      <c r="D944" s="3"/>
      <c r="E944" s="3"/>
      <c r="F944" s="3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"/>
      <c r="C945" s="3"/>
      <c r="D945" s="3"/>
      <c r="E945" s="3"/>
      <c r="F945" s="3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"/>
      <c r="C946" s="3"/>
      <c r="D946" s="3"/>
      <c r="E946" s="3"/>
      <c r="F946" s="3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"/>
      <c r="C947" s="3"/>
      <c r="D947" s="3"/>
      <c r="E947" s="3"/>
      <c r="F947" s="3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"/>
      <c r="C948" s="3"/>
      <c r="D948" s="3"/>
      <c r="E948" s="3"/>
      <c r="F948" s="3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"/>
      <c r="C949" s="3"/>
      <c r="D949" s="3"/>
      <c r="E949" s="3"/>
      <c r="F949" s="3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"/>
      <c r="C950" s="3"/>
      <c r="D950" s="3"/>
      <c r="E950" s="3"/>
      <c r="F950" s="3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"/>
      <c r="C951" s="3"/>
      <c r="D951" s="3"/>
      <c r="E951" s="3"/>
      <c r="F951" s="3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"/>
      <c r="C952" s="3"/>
      <c r="D952" s="3"/>
      <c r="E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"/>
      <c r="C953" s="3"/>
      <c r="D953" s="3"/>
      <c r="E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"/>
      <c r="C954" s="3"/>
      <c r="D954" s="3"/>
      <c r="E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"/>
      <c r="C955" s="3"/>
      <c r="D955" s="3"/>
      <c r="E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"/>
      <c r="C956" s="3"/>
      <c r="D956" s="3"/>
      <c r="E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"/>
      <c r="C957" s="3"/>
      <c r="D957" s="3"/>
      <c r="E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"/>
      <c r="C958" s="3"/>
      <c r="D958" s="3"/>
      <c r="E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"/>
      <c r="C959" s="3"/>
      <c r="D959" s="3"/>
      <c r="E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"/>
      <c r="C960" s="3"/>
      <c r="D960" s="3"/>
      <c r="E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"/>
      <c r="C961" s="3"/>
      <c r="D961" s="3"/>
      <c r="E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"/>
      <c r="C962" s="3"/>
      <c r="D962" s="3"/>
      <c r="E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"/>
      <c r="C963" s="3"/>
      <c r="D963" s="3"/>
      <c r="E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"/>
      <c r="C964" s="3"/>
      <c r="D964" s="3"/>
      <c r="E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"/>
      <c r="C965" s="3"/>
      <c r="D965" s="3"/>
      <c r="E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"/>
      <c r="C966" s="3"/>
      <c r="D966" s="3"/>
      <c r="E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"/>
      <c r="C967" s="3"/>
      <c r="D967" s="3"/>
      <c r="E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"/>
      <c r="C968" s="3"/>
      <c r="D968" s="3"/>
      <c r="E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"/>
      <c r="C969" s="3"/>
      <c r="D969" s="3"/>
      <c r="E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"/>
      <c r="C970" s="3"/>
      <c r="D970" s="3"/>
      <c r="E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"/>
      <c r="C971" s="3"/>
      <c r="D971" s="3"/>
      <c r="E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"/>
      <c r="C972" s="3"/>
      <c r="D972" s="3"/>
      <c r="E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"/>
      <c r="C973" s="3"/>
      <c r="D973" s="3"/>
      <c r="E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"/>
      <c r="C974" s="3"/>
      <c r="D974" s="3"/>
      <c r="E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"/>
      <c r="C975" s="3"/>
      <c r="D975" s="3"/>
      <c r="E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"/>
      <c r="C976" s="3"/>
      <c r="D976" s="3"/>
      <c r="E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"/>
      <c r="C977" s="3"/>
      <c r="D977" s="3"/>
      <c r="E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"/>
      <c r="C978" s="3"/>
      <c r="D978" s="3"/>
      <c r="E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"/>
      <c r="C979" s="3"/>
      <c r="D979" s="3"/>
      <c r="E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"/>
      <c r="C980" s="3"/>
      <c r="D980" s="3"/>
      <c r="E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"/>
      <c r="C981" s="3"/>
      <c r="D981" s="3"/>
      <c r="E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"/>
      <c r="C982" s="3"/>
      <c r="D982" s="3"/>
      <c r="E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"/>
      <c r="C983" s="3"/>
      <c r="D983" s="3"/>
      <c r="E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"/>
      <c r="C984" s="3"/>
      <c r="D984" s="3"/>
      <c r="E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I994" s="1"/>
      <c r="J994" s="1"/>
      <c r="K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I995" s="1"/>
      <c r="J995" s="1"/>
      <c r="K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I996" s="1"/>
      <c r="J996" s="1"/>
      <c r="K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I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I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">
    <mergeCell ref="A2:H2"/>
    <mergeCell ref="C4:H4"/>
    <mergeCell ref="J4:L4"/>
    <mergeCell ref="L14:M14"/>
    <mergeCell ref="L21:M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8" t="s">
        <v>1</v>
      </c>
    </row>
    <row r="3" ht="14.25" customHeight="1">
      <c r="H3" s="12" t="s">
        <v>4</v>
      </c>
    </row>
    <row r="4" ht="14.25" customHeight="1">
      <c r="C4" s="19" t="s">
        <v>6</v>
      </c>
      <c r="D4" s="14"/>
      <c r="E4" s="15"/>
    </row>
    <row r="5" ht="14.25" customHeight="1">
      <c r="A5" s="18" t="s">
        <v>12</v>
      </c>
      <c r="B5" s="18" t="s">
        <v>13</v>
      </c>
      <c r="C5" s="18" t="s">
        <v>14</v>
      </c>
      <c r="D5" s="18" t="s">
        <v>15</v>
      </c>
      <c r="E5" s="18" t="s">
        <v>17</v>
      </c>
      <c r="F5" s="18" t="s">
        <v>19</v>
      </c>
      <c r="G5" s="18" t="s">
        <v>20</v>
      </c>
    </row>
    <row r="6" ht="14.25" customHeight="1">
      <c r="A6" s="20" t="s">
        <v>9</v>
      </c>
      <c r="B6" s="25" t="s">
        <v>22</v>
      </c>
      <c r="C6" s="27"/>
      <c r="D6" s="27" t="s">
        <v>23</v>
      </c>
      <c r="E6" s="29">
        <v>0.5</v>
      </c>
      <c r="F6" s="38">
        <f>(C20*E6)+700000</f>
        <v>1350000</v>
      </c>
      <c r="G6" s="38">
        <f t="shared" ref="G6:G11" si="1">F6/180</f>
        <v>7500</v>
      </c>
    </row>
    <row r="7" ht="14.25" customHeight="1">
      <c r="A7" s="20" t="s">
        <v>10</v>
      </c>
      <c r="B7" s="25" t="s">
        <v>37</v>
      </c>
      <c r="C7" s="27"/>
      <c r="D7" s="27" t="s">
        <v>23</v>
      </c>
      <c r="E7" s="29">
        <v>0.3</v>
      </c>
      <c r="F7" s="38">
        <f>(C19*E7)+756000</f>
        <v>1080000</v>
      </c>
      <c r="G7" s="38">
        <f t="shared" si="1"/>
        <v>6000</v>
      </c>
    </row>
    <row r="8" ht="14.25" customHeight="1">
      <c r="A8" s="20" t="s">
        <v>11</v>
      </c>
      <c r="B8" s="25" t="s">
        <v>41</v>
      </c>
      <c r="C8" s="27" t="s">
        <v>23</v>
      </c>
      <c r="D8" s="27"/>
      <c r="E8" s="27"/>
      <c r="F8" s="38">
        <f>B20</f>
        <v>900000</v>
      </c>
      <c r="G8" s="38">
        <f t="shared" si="1"/>
        <v>5000</v>
      </c>
    </row>
    <row r="9" ht="14.25" customHeight="1">
      <c r="A9" s="18"/>
      <c r="B9" s="25"/>
      <c r="C9" s="27"/>
      <c r="D9" s="27"/>
      <c r="E9" s="29"/>
      <c r="F9" s="38"/>
      <c r="G9" s="38">
        <f t="shared" si="1"/>
        <v>0</v>
      </c>
    </row>
    <row r="10" ht="14.25" customHeight="1">
      <c r="A10" s="18"/>
      <c r="B10" s="25"/>
      <c r="C10" s="27"/>
      <c r="D10" s="27"/>
      <c r="E10" s="27"/>
      <c r="F10" s="38"/>
      <c r="G10" s="38">
        <f t="shared" si="1"/>
        <v>0</v>
      </c>
    </row>
    <row r="11" ht="14.25" customHeight="1">
      <c r="A11" s="18"/>
      <c r="B11" s="25"/>
      <c r="C11" s="27"/>
      <c r="D11" s="27"/>
      <c r="E11" s="27"/>
      <c r="F11" s="38"/>
      <c r="G11" s="38">
        <f t="shared" si="1"/>
        <v>0</v>
      </c>
    </row>
    <row r="12" ht="14.25" customHeight="1"/>
    <row r="13" ht="14.25" customHeight="1"/>
    <row r="14" ht="14.25" customHeight="1">
      <c r="D14" s="45" t="s">
        <v>42</v>
      </c>
      <c r="E14" s="45">
        <v>45.0</v>
      </c>
    </row>
    <row r="15" ht="14.25" customHeight="1">
      <c r="D15" s="45" t="s">
        <v>44</v>
      </c>
      <c r="E15" s="45">
        <f>E14*4</f>
        <v>180</v>
      </c>
    </row>
    <row r="16" ht="14.25" customHeight="1">
      <c r="D16" s="45" t="s">
        <v>20</v>
      </c>
      <c r="E16" s="45" t="s">
        <v>45</v>
      </c>
    </row>
    <row r="17" ht="14.25" customHeight="1"/>
    <row r="18" ht="14.25" customHeight="1">
      <c r="A18" s="17" t="s">
        <v>46</v>
      </c>
      <c r="B18" s="17" t="s">
        <v>47</v>
      </c>
      <c r="C18" s="17" t="s">
        <v>48</v>
      </c>
      <c r="D18" s="17" t="s">
        <v>49</v>
      </c>
    </row>
    <row r="19" ht="14.25" customHeight="1">
      <c r="A19" s="47" t="s">
        <v>50</v>
      </c>
      <c r="B19" s="38">
        <v>500000.0</v>
      </c>
      <c r="C19" s="49">
        <v>1080000.0</v>
      </c>
      <c r="D19" s="38">
        <v>500000.0</v>
      </c>
    </row>
    <row r="20" ht="14.25" customHeight="1">
      <c r="A20" s="47" t="s">
        <v>52</v>
      </c>
      <c r="B20" s="38">
        <v>900000.0</v>
      </c>
      <c r="C20" s="38">
        <v>1300000.0</v>
      </c>
      <c r="D20" s="38">
        <v>800000.0</v>
      </c>
    </row>
    <row r="21" ht="14.25" customHeight="1"/>
    <row r="22" ht="14.25" customHeight="1"/>
    <row r="23" ht="14.25" customHeight="1">
      <c r="H23" s="12" t="s">
        <v>53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8" t="s">
        <v>49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